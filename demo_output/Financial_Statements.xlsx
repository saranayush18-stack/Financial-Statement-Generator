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Ratios" sheetId="8" state="visible" r:id="rId8"/>
  </sheets>
  <definedNames>
    <definedName name="_xlnm.Print_Titles" localSheetId="2">'Balance Sheet'!$1:$1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2"/>
    </font>
    <font>
      <name val="Arial"/>
      <i val="1"/>
      <sz val="10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006100"/>
    </font>
    <font>
      <name val="Arial"/>
      <b val="1"/>
      <color rgb="001F4E79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7" fillId="3" borderId="0" pivotButton="0" quotePrefix="0" xfId="0"/>
    <xf numFmtId="164" fontId="7" fillId="3" borderId="0" pivotButton="0" quotePrefix="0" xfId="0"/>
    <xf numFmtId="0" fontId="5" fillId="2" borderId="1" pivotButton="0" quotePrefix="0" xfId="0"/>
    <xf numFmtId="164" fontId="6" fillId="0" borderId="1" pivotButton="0" quotePrefix="0" xfId="0"/>
    <xf numFmtId="0" fontId="5" fillId="2" borderId="0" pivotButton="0" quotePrefix="0" xfId="0"/>
    <xf numFmtId="0" fontId="8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164" fontId="0" fillId="3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6" fillId="4" borderId="0" pivotButton="0" quotePrefix="0" xfId="0"/>
    <xf numFmtId="0" fontId="6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</cols>
  <sheetData>
    <row r="1">
      <c r="A1" s="1" t="inlineStr">
        <is>
          <t>Bharat Precision Components Private Limited</t>
        </is>
      </c>
    </row>
    <row r="2">
      <c r="A2" s="2" t="inlineStr">
        <is>
          <t>Trial Balance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A6" s="5" t="inlineStr">
        <is>
          <t>Ledger Name</t>
        </is>
      </c>
      <c r="B6" s="5" t="inlineStr">
        <is>
          <t>Opening Balance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Closing Balance</t>
        </is>
      </c>
      <c r="F6" s="5" t="inlineStr">
        <is>
          <t>Mapped Head</t>
        </is>
      </c>
    </row>
    <row r="7">
      <c r="A7" s="6" t="inlineStr">
        <is>
          <t>Equity Share Capital</t>
        </is>
      </c>
      <c r="B7" s="7" t="n">
        <v>0</v>
      </c>
      <c r="C7" s="7" t="n">
        <v>0</v>
      </c>
      <c r="D7" s="7" t="n">
        <v>5000000</v>
      </c>
      <c r="E7" s="7">
        <f>B7+C7-D7</f>
        <v/>
      </c>
      <c r="F7" s="8" t="inlineStr">
        <is>
          <t>Shareholders' Funds / Share Capital</t>
        </is>
      </c>
    </row>
    <row r="8">
      <c r="A8" s="6" t="inlineStr">
        <is>
          <t>General Reserve</t>
        </is>
      </c>
      <c r="B8" s="7" t="n">
        <v>0</v>
      </c>
      <c r="C8" s="7" t="n">
        <v>0</v>
      </c>
      <c r="D8" s="7" t="n">
        <v>1200000</v>
      </c>
      <c r="E8" s="7">
        <f>B8+C8-D8</f>
        <v/>
      </c>
      <c r="F8" s="8" t="inlineStr">
        <is>
          <t>Shareholders' Funds / Reserves and Surplus</t>
        </is>
      </c>
    </row>
    <row r="9">
      <c r="A9" s="6" t="inlineStr">
        <is>
          <t>Profit and Loss Appropriation A/c</t>
        </is>
      </c>
      <c r="B9" s="7" t="n">
        <v>0</v>
      </c>
      <c r="C9" s="7" t="n">
        <v>0</v>
      </c>
      <c r="D9" s="7" t="n">
        <v>950000</v>
      </c>
      <c r="E9" s="7">
        <f>B9+C9-D9</f>
        <v/>
      </c>
      <c r="F9" s="8" t="inlineStr">
        <is>
          <t>Shareholders' Funds / Reserves and Surplus</t>
        </is>
      </c>
    </row>
    <row r="10">
      <c r="A10" s="6" t="inlineStr">
        <is>
          <t>Term Loan - HDFC Bank</t>
        </is>
      </c>
      <c r="B10" s="7" t="n">
        <v>0</v>
      </c>
      <c r="C10" s="7" t="n">
        <v>0</v>
      </c>
      <c r="D10" s="7" t="n">
        <v>2200000</v>
      </c>
      <c r="E10" s="7">
        <f>B10+C10-D10</f>
        <v/>
      </c>
      <c r="F10" s="8" t="inlineStr">
        <is>
          <t>Non-Current Liabilities / Long-Term Borrowings</t>
        </is>
      </c>
    </row>
    <row r="11">
      <c r="A11" s="6" t="inlineStr">
        <is>
          <t>Loan from Director</t>
        </is>
      </c>
      <c r="B11" s="7" t="n">
        <v>0</v>
      </c>
      <c r="C11" s="7" t="n">
        <v>0</v>
      </c>
      <c r="D11" s="7" t="n">
        <v>500000</v>
      </c>
      <c r="E11" s="7">
        <f>B11+C11-D11</f>
        <v/>
      </c>
      <c r="F11" s="8" t="inlineStr">
        <is>
          <t>Non-Current Liabilities / Long-Term Borrowings</t>
        </is>
      </c>
    </row>
    <row r="12">
      <c r="A12" s="6" t="inlineStr">
        <is>
          <t>Cash Credit A/c - Axis Bank</t>
        </is>
      </c>
      <c r="B12" s="7" t="n">
        <v>0</v>
      </c>
      <c r="C12" s="7" t="n">
        <v>0</v>
      </c>
      <c r="D12" s="7" t="n">
        <v>780000</v>
      </c>
      <c r="E12" s="7">
        <f>B12+C12-D12</f>
        <v/>
      </c>
      <c r="F12" s="8" t="inlineStr">
        <is>
          <t>Current Liabilities / Short-Term Borrowings</t>
        </is>
      </c>
    </row>
    <row r="13">
      <c r="A13" s="6" t="inlineStr">
        <is>
          <t>Sundry Creditors - Raw Material</t>
        </is>
      </c>
      <c r="B13" s="7" t="n">
        <v>0</v>
      </c>
      <c r="C13" s="7" t="n">
        <v>0</v>
      </c>
      <c r="D13" s="7" t="n">
        <v>1650000</v>
      </c>
      <c r="E13" s="7">
        <f>B13+C13-D13</f>
        <v/>
      </c>
      <c r="F13" s="8" t="inlineStr">
        <is>
          <t>Current Liabilities / Trade Payables</t>
        </is>
      </c>
    </row>
    <row r="14">
      <c r="A14" s="6" t="inlineStr">
        <is>
          <t>GST Output CGST</t>
        </is>
      </c>
      <c r="B14" s="7" t="n">
        <v>0</v>
      </c>
      <c r="C14" s="7" t="n">
        <v>0</v>
      </c>
      <c r="D14" s="7" t="n">
        <v>210000</v>
      </c>
      <c r="E14" s="7">
        <f>B14+C14-D14</f>
        <v/>
      </c>
      <c r="F14" s="8" t="inlineStr">
        <is>
          <t>Current Liabilities / Other Current Liabilities</t>
        </is>
      </c>
    </row>
    <row r="15">
      <c r="A15" s="6" t="inlineStr">
        <is>
          <t>GST Output SGST</t>
        </is>
      </c>
      <c r="B15" s="7" t="n">
        <v>0</v>
      </c>
      <c r="C15" s="7" t="n">
        <v>0</v>
      </c>
      <c r="D15" s="7" t="n">
        <v>210000</v>
      </c>
      <c r="E15" s="7">
        <f>B15+C15-D15</f>
        <v/>
      </c>
      <c r="F15" s="8" t="inlineStr">
        <is>
          <t>Current Liabilities / Other Current Liabilities</t>
        </is>
      </c>
    </row>
    <row r="16">
      <c r="A16" s="6" t="inlineStr">
        <is>
          <t>TDS Payable on Salary</t>
        </is>
      </c>
      <c r="B16" s="7" t="n">
        <v>0</v>
      </c>
      <c r="C16" s="7" t="n">
        <v>0</v>
      </c>
      <c r="D16" s="7" t="n">
        <v>45000</v>
      </c>
      <c r="E16" s="7">
        <f>B16+C16-D16</f>
        <v/>
      </c>
      <c r="F16" s="8" t="inlineStr">
        <is>
          <t>Current Liabilities / Other Current Liabilities</t>
        </is>
      </c>
    </row>
    <row r="17">
      <c r="A17" s="6" t="inlineStr">
        <is>
          <t>Provision for Income Tax</t>
        </is>
      </c>
      <c r="B17" s="7" t="n">
        <v>0</v>
      </c>
      <c r="C17" s="7" t="n">
        <v>0</v>
      </c>
      <c r="D17" s="7" t="n">
        <v>320000</v>
      </c>
      <c r="E17" s="7">
        <f>B17+C17-D17</f>
        <v/>
      </c>
      <c r="F17" s="8" t="inlineStr">
        <is>
          <t>Current Liabilities / Short-Term Provisions</t>
        </is>
      </c>
    </row>
    <row r="18">
      <c r="A18" s="6" t="inlineStr">
        <is>
          <t>Salary Payable</t>
        </is>
      </c>
      <c r="B18" s="7" t="n">
        <v>0</v>
      </c>
      <c r="C18" s="7" t="n">
        <v>0</v>
      </c>
      <c r="D18" s="7" t="n">
        <v>95000</v>
      </c>
      <c r="E18" s="7">
        <f>B18+C18-D18</f>
        <v/>
      </c>
      <c r="F18" s="8" t="inlineStr">
        <is>
          <t>Current Liabilities / Short-Term Provisions</t>
        </is>
      </c>
    </row>
    <row r="19">
      <c r="A19" s="6" t="inlineStr">
        <is>
          <t>Provision for Gratuity</t>
        </is>
      </c>
      <c r="B19" s="7" t="n">
        <v>0</v>
      </c>
      <c r="C19" s="7" t="n">
        <v>0</v>
      </c>
      <c r="D19" s="7" t="n">
        <v>180000</v>
      </c>
      <c r="E19" s="7">
        <f>B19+C19-D19</f>
        <v/>
      </c>
      <c r="F19" s="8" t="inlineStr">
        <is>
          <t>Long-Term Provisions / Long-Term Provisions</t>
        </is>
      </c>
    </row>
    <row r="20">
      <c r="A20" s="6" t="inlineStr">
        <is>
          <t>Accumulated Depreciation - Plant and Machinery</t>
        </is>
      </c>
      <c r="B20" s="7" t="n">
        <v>0</v>
      </c>
      <c r="C20" s="7" t="n">
        <v>0</v>
      </c>
      <c r="D20" s="7" t="n">
        <v>980000</v>
      </c>
      <c r="E20" s="7">
        <f>B20+C20-D20</f>
        <v/>
      </c>
      <c r="F20" s="8" t="inlineStr">
        <is>
          <t>Non-Current Assets / Property, Plant and Equipment</t>
        </is>
      </c>
    </row>
    <row r="21">
      <c r="A21" s="6" t="inlineStr">
        <is>
          <t>Plant and Machinery</t>
        </is>
      </c>
      <c r="B21" s="7" t="n">
        <v>0</v>
      </c>
      <c r="C21" s="7" t="n">
        <v>3650000</v>
      </c>
      <c r="D21" s="7" t="n">
        <v>0</v>
      </c>
      <c r="E21" s="7">
        <f>B21+C21-D21</f>
        <v/>
      </c>
      <c r="F21" s="8" t="inlineStr">
        <is>
          <t>Non-Current Assets / Property, Plant and Equipment</t>
        </is>
      </c>
    </row>
    <row r="22">
      <c r="A22" s="6" t="inlineStr">
        <is>
          <t>Computer</t>
        </is>
      </c>
      <c r="B22" s="7" t="n">
        <v>0</v>
      </c>
      <c r="C22" s="7" t="n">
        <v>220000</v>
      </c>
      <c r="D22" s="7" t="n">
        <v>0</v>
      </c>
      <c r="E22" s="7">
        <f>B22+C22-D22</f>
        <v/>
      </c>
      <c r="F22" s="8" t="inlineStr">
        <is>
          <t>Non-Current Assets / Property, Plant and Equipment</t>
        </is>
      </c>
    </row>
    <row r="23">
      <c r="A23" s="6" t="inlineStr">
        <is>
          <t>Office Furniture</t>
        </is>
      </c>
      <c r="B23" s="7" t="n">
        <v>0</v>
      </c>
      <c r="C23" s="7" t="n">
        <v>220000</v>
      </c>
      <c r="D23" s="7" t="n">
        <v>0</v>
      </c>
      <c r="E23" s="7">
        <f>B23+C23-D23</f>
        <v/>
      </c>
      <c r="F23" s="8" t="inlineStr">
        <is>
          <t>Non-Current Assets / Property, Plant and Equipment</t>
        </is>
      </c>
    </row>
    <row r="24">
      <c r="A24" s="6" t="inlineStr">
        <is>
          <t>Capital Work in Progress</t>
        </is>
      </c>
      <c r="B24" s="7" t="n">
        <v>0</v>
      </c>
      <c r="C24" s="7" t="n">
        <v>150000</v>
      </c>
      <c r="D24" s="7" t="n">
        <v>0</v>
      </c>
      <c r="E24" s="7">
        <f>B24+C24-D24</f>
        <v/>
      </c>
      <c r="F24" s="8" t="inlineStr">
        <is>
          <t>Non-Current Assets / Capital Work-in-Progress</t>
        </is>
      </c>
    </row>
    <row r="25">
      <c r="A25" s="6" t="inlineStr">
        <is>
          <t>Software License</t>
        </is>
      </c>
      <c r="B25" s="7" t="n">
        <v>0</v>
      </c>
      <c r="C25" s="7" t="n">
        <v>90000</v>
      </c>
      <c r="D25" s="7" t="n">
        <v>0</v>
      </c>
      <c r="E25" s="7">
        <f>B25+C25-D25</f>
        <v/>
      </c>
      <c r="F25" s="8" t="inlineStr">
        <is>
          <t>Non-Current Assets / Intangible Assets</t>
        </is>
      </c>
    </row>
    <row r="26">
      <c r="A26" s="6" t="inlineStr">
        <is>
          <t>Investment in Mutual Fund</t>
        </is>
      </c>
      <c r="B26" s="7" t="n">
        <v>0</v>
      </c>
      <c r="C26" s="7" t="n">
        <v>500000</v>
      </c>
      <c r="D26" s="7" t="n">
        <v>0</v>
      </c>
      <c r="E26" s="7">
        <f>B26+C26-D26</f>
        <v/>
      </c>
      <c r="F26" s="8" t="inlineStr">
        <is>
          <t>Non-Current Assets / Non-Current Investments</t>
        </is>
      </c>
    </row>
    <row r="27">
      <c r="A27" s="6" t="inlineStr">
        <is>
          <t>Closing Stock - Raw Material</t>
        </is>
      </c>
      <c r="B27" s="7" t="n">
        <v>0</v>
      </c>
      <c r="C27" s="7" t="n">
        <v>620000</v>
      </c>
      <c r="D27" s="7" t="n">
        <v>0</v>
      </c>
      <c r="E27" s="7">
        <f>B27+C27-D27</f>
        <v/>
      </c>
      <c r="F27" s="8" t="inlineStr">
        <is>
          <t>Current Assets / Inventories</t>
        </is>
      </c>
    </row>
    <row r="28">
      <c r="A28" s="6" t="inlineStr">
        <is>
          <t>Closing Stock - Finished Goods</t>
        </is>
      </c>
      <c r="B28" s="7" t="n">
        <v>0</v>
      </c>
      <c r="C28" s="7" t="n">
        <v>780000</v>
      </c>
      <c r="D28" s="7" t="n">
        <v>0</v>
      </c>
      <c r="E28" s="7">
        <f>B28+C28-D28</f>
        <v/>
      </c>
      <c r="F28" s="8" t="inlineStr">
        <is>
          <t>Current Assets / Inventories</t>
        </is>
      </c>
    </row>
    <row r="29">
      <c r="A29" s="6" t="inlineStr">
        <is>
          <t>Sundry Debtors - Trade</t>
        </is>
      </c>
      <c r="B29" s="7" t="n">
        <v>0</v>
      </c>
      <c r="C29" s="7" t="n">
        <v>1450000</v>
      </c>
      <c r="D29" s="7" t="n">
        <v>0</v>
      </c>
      <c r="E29" s="7">
        <f>B29+C29-D29</f>
        <v/>
      </c>
      <c r="F29" s="8" t="inlineStr">
        <is>
          <t>Current Assets / Trade Receivables</t>
        </is>
      </c>
    </row>
    <row r="30">
      <c r="A30" s="6" t="inlineStr">
        <is>
          <t>Cash in Hand</t>
        </is>
      </c>
      <c r="B30" s="7" t="n">
        <v>0</v>
      </c>
      <c r="C30" s="7" t="n">
        <v>45000</v>
      </c>
      <c r="D30" s="7" t="n">
        <v>0</v>
      </c>
      <c r="E30" s="7">
        <f>B30+C30-D30</f>
        <v/>
      </c>
      <c r="F30" s="8" t="inlineStr">
        <is>
          <t>Current Assets / Cash and Cash Equivalents</t>
        </is>
      </c>
    </row>
    <row r="31">
      <c r="A31" s="6" t="inlineStr">
        <is>
          <t>HDFC Bank Current A/c</t>
        </is>
      </c>
      <c r="B31" s="7" t="n">
        <v>0</v>
      </c>
      <c r="C31" s="7" t="n">
        <v>620000</v>
      </c>
      <c r="D31" s="7" t="n">
        <v>0</v>
      </c>
      <c r="E31" s="7">
        <f>B31+C31-D31</f>
        <v/>
      </c>
      <c r="F31" s="8" t="inlineStr">
        <is>
          <t>Current Assets / Cash and Cash Equivalents</t>
        </is>
      </c>
    </row>
    <row r="32">
      <c r="A32" s="6" t="inlineStr">
        <is>
          <t>GST Input CGST</t>
        </is>
      </c>
      <c r="B32" s="7" t="n">
        <v>0</v>
      </c>
      <c r="C32" s="7" t="n">
        <v>195000</v>
      </c>
      <c r="D32" s="7" t="n">
        <v>0</v>
      </c>
      <c r="E32" s="7">
        <f>B32+C32-D32</f>
        <v/>
      </c>
      <c r="F32" s="8" t="inlineStr">
        <is>
          <t>Current Assets / Other Current Assets</t>
        </is>
      </c>
    </row>
    <row r="33">
      <c r="A33" s="6" t="inlineStr">
        <is>
          <t>GST Input SGST</t>
        </is>
      </c>
      <c r="B33" s="7" t="n">
        <v>0</v>
      </c>
      <c r="C33" s="7" t="n">
        <v>195000</v>
      </c>
      <c r="D33" s="7" t="n">
        <v>0</v>
      </c>
      <c r="E33" s="7">
        <f>B33+C33-D33</f>
        <v/>
      </c>
      <c r="F33" s="8" t="inlineStr">
        <is>
          <t>Current Assets / Other Current Assets</t>
        </is>
      </c>
    </row>
    <row r="34">
      <c r="A34" s="6" t="inlineStr">
        <is>
          <t>TDS Receivable</t>
        </is>
      </c>
      <c r="B34" s="7" t="n">
        <v>0</v>
      </c>
      <c r="C34" s="7" t="n">
        <v>38000</v>
      </c>
      <c r="D34" s="7" t="n">
        <v>0</v>
      </c>
      <c r="E34" s="7">
        <f>B34+C34-D34</f>
        <v/>
      </c>
      <c r="F34" s="8" t="inlineStr">
        <is>
          <t>Current Assets / Other Current Assets</t>
        </is>
      </c>
    </row>
    <row r="35">
      <c r="A35" s="6" t="inlineStr">
        <is>
          <t>Security Deposit Given - Rent</t>
        </is>
      </c>
      <c r="B35" s="7" t="n">
        <v>0</v>
      </c>
      <c r="C35" s="7" t="n">
        <v>100000</v>
      </c>
      <c r="D35" s="7" t="n">
        <v>0</v>
      </c>
      <c r="E35" s="7">
        <f>B35+C35-D35</f>
        <v/>
      </c>
      <c r="F35" s="8" t="inlineStr">
        <is>
          <t>Current Assets / Short-Term Loans and Advances</t>
        </is>
      </c>
    </row>
    <row r="36">
      <c r="A36" s="6" t="inlineStr">
        <is>
          <t>Prepaid Insurance</t>
        </is>
      </c>
      <c r="B36" s="7" t="n">
        <v>0</v>
      </c>
      <c r="C36" s="7" t="n">
        <v>25000</v>
      </c>
      <c r="D36" s="7" t="n">
        <v>0</v>
      </c>
      <c r="E36" s="7">
        <f>B36+C36-D36</f>
        <v/>
      </c>
      <c r="F36" s="8" t="inlineStr">
        <is>
          <t>Current Assets / Other Current Assets</t>
        </is>
      </c>
    </row>
    <row r="37">
      <c r="A37" s="6" t="inlineStr">
        <is>
          <t>Sales - Domestic</t>
        </is>
      </c>
      <c r="B37" s="7" t="n">
        <v>0</v>
      </c>
      <c r="C37" s="7" t="n">
        <v>0</v>
      </c>
      <c r="D37" s="7" t="n">
        <v>12500000</v>
      </c>
      <c r="E37" s="7">
        <f>B37+C37-D37</f>
        <v/>
      </c>
      <c r="F37" s="8" t="inlineStr">
        <is>
          <t>Revenue / Revenue from Operations</t>
        </is>
      </c>
    </row>
    <row r="38">
      <c r="A38" s="6" t="inlineStr">
        <is>
          <t>Export Sales</t>
        </is>
      </c>
      <c r="B38" s="7" t="n">
        <v>0</v>
      </c>
      <c r="C38" s="7" t="n">
        <v>0</v>
      </c>
      <c r="D38" s="7" t="n">
        <v>1800000</v>
      </c>
      <c r="E38" s="7">
        <f>B38+C38-D38</f>
        <v/>
      </c>
      <c r="F38" s="8" t="inlineStr">
        <is>
          <t>Revenue / Revenue from Operations</t>
        </is>
      </c>
    </row>
    <row r="39">
      <c r="A39" s="6" t="inlineStr">
        <is>
          <t>Interest Income</t>
        </is>
      </c>
      <c r="B39" s="7" t="n">
        <v>0</v>
      </c>
      <c r="C39" s="7" t="n">
        <v>0</v>
      </c>
      <c r="D39" s="7" t="n">
        <v>45000</v>
      </c>
      <c r="E39" s="7">
        <f>B39+C39-D39</f>
        <v/>
      </c>
      <c r="F39" s="8" t="inlineStr">
        <is>
          <t>Revenue / Other Income</t>
        </is>
      </c>
    </row>
    <row r="40">
      <c r="A40" s="6" t="inlineStr">
        <is>
          <t>Purchase of Raw Material</t>
        </is>
      </c>
      <c r="B40" s="7" t="n">
        <v>0</v>
      </c>
      <c r="C40" s="7" t="n">
        <v>6800000</v>
      </c>
      <c r="D40" s="7" t="n">
        <v>0</v>
      </c>
      <c r="E40" s="7">
        <f>B40+C40-D40</f>
        <v/>
      </c>
      <c r="F40" s="8" t="inlineStr">
        <is>
          <t>Expenses / Cost of Materials Consumed</t>
        </is>
      </c>
    </row>
    <row r="41">
      <c r="A41" s="6" t="inlineStr">
        <is>
          <t>Factory Electricity</t>
        </is>
      </c>
      <c r="B41" s="7" t="n">
        <v>0</v>
      </c>
      <c r="C41" s="7" t="n">
        <v>420000</v>
      </c>
      <c r="D41" s="7" t="n">
        <v>0</v>
      </c>
      <c r="E41" s="7">
        <f>B41+C41-D41</f>
        <v/>
      </c>
      <c r="F41" s="8" t="inlineStr">
        <is>
          <t>Expenses / Other Expenses</t>
        </is>
      </c>
    </row>
    <row r="42">
      <c r="A42" s="6" t="inlineStr">
        <is>
          <t>Factory Rent</t>
        </is>
      </c>
      <c r="B42" s="7" t="n">
        <v>0</v>
      </c>
      <c r="C42" s="7" t="n">
        <v>360000</v>
      </c>
      <c r="D42" s="7" t="n">
        <v>0</v>
      </c>
      <c r="E42" s="7">
        <f>B42+C42-D42</f>
        <v/>
      </c>
      <c r="F42" s="8" t="inlineStr">
        <is>
          <t>Expenses / Other Expenses</t>
        </is>
      </c>
    </row>
    <row r="43">
      <c r="A43" s="6" t="inlineStr">
        <is>
          <t>Staff Salary</t>
        </is>
      </c>
      <c r="B43" s="7" t="n">
        <v>0</v>
      </c>
      <c r="C43" s="7" t="n">
        <v>1850000</v>
      </c>
      <c r="D43" s="7" t="n">
        <v>0</v>
      </c>
      <c r="E43" s="7">
        <f>B43+C43-D43</f>
        <v/>
      </c>
      <c r="F43" s="8" t="inlineStr">
        <is>
          <t>Expenses / Employee Benefit Expense</t>
        </is>
      </c>
    </row>
    <row r="44">
      <c r="A44" s="6" t="inlineStr">
        <is>
          <t>Director Remuneration</t>
        </is>
      </c>
      <c r="B44" s="7" t="n">
        <v>0</v>
      </c>
      <c r="C44" s="7" t="n">
        <v>1200000</v>
      </c>
      <c r="D44" s="7" t="n">
        <v>0</v>
      </c>
      <c r="E44" s="7">
        <f>B44+C44-D44</f>
        <v/>
      </c>
      <c r="F44" s="8" t="inlineStr">
        <is>
          <t>Expenses / Employee Benefit Expense</t>
        </is>
      </c>
    </row>
    <row r="45">
      <c r="A45" s="6" t="inlineStr">
        <is>
          <t>Contribution to PF</t>
        </is>
      </c>
      <c r="B45" s="7" t="n">
        <v>0</v>
      </c>
      <c r="C45" s="7" t="n">
        <v>165000</v>
      </c>
      <c r="D45" s="7" t="n">
        <v>0</v>
      </c>
      <c r="E45" s="7">
        <f>B45+C45-D45</f>
        <v/>
      </c>
      <c r="F45" s="8" t="inlineStr">
        <is>
          <t>Expenses / Employee Benefit Expense</t>
        </is>
      </c>
    </row>
    <row r="46">
      <c r="A46" s="6" t="inlineStr">
        <is>
          <t>Staff Welfare Expense</t>
        </is>
      </c>
      <c r="B46" s="7" t="n">
        <v>0</v>
      </c>
      <c r="C46" s="7" t="n">
        <v>85000</v>
      </c>
      <c r="D46" s="7" t="n">
        <v>0</v>
      </c>
      <c r="E46" s="7">
        <f>B46+C46-D46</f>
        <v/>
      </c>
      <c r="F46" s="8" t="inlineStr">
        <is>
          <t>Expenses / Employee Benefit Expense</t>
        </is>
      </c>
    </row>
    <row r="47">
      <c r="A47" s="6" t="inlineStr">
        <is>
          <t>Interest on Term Loan</t>
        </is>
      </c>
      <c r="B47" s="7" t="n">
        <v>0</v>
      </c>
      <c r="C47" s="7" t="n">
        <v>285000</v>
      </c>
      <c r="D47" s="7" t="n">
        <v>0</v>
      </c>
      <c r="E47" s="7">
        <f>B47+C47-D47</f>
        <v/>
      </c>
      <c r="F47" s="8" t="inlineStr">
        <is>
          <t>Expenses / Finance Costs</t>
        </is>
      </c>
    </row>
    <row r="48">
      <c r="A48" s="6" t="inlineStr">
        <is>
          <t>Bank Charges</t>
        </is>
      </c>
      <c r="B48" s="7" t="n">
        <v>0</v>
      </c>
      <c r="C48" s="7" t="n">
        <v>32000</v>
      </c>
      <c r="D48" s="7" t="n">
        <v>0</v>
      </c>
      <c r="E48" s="7">
        <f>B48+C48-D48</f>
        <v/>
      </c>
      <c r="F48" s="8" t="inlineStr">
        <is>
          <t>Expenses / Finance Costs</t>
        </is>
      </c>
    </row>
    <row r="49">
      <c r="A49" s="6" t="inlineStr">
        <is>
          <t>Depreciation Expense</t>
        </is>
      </c>
      <c r="B49" s="7" t="n">
        <v>0</v>
      </c>
      <c r="C49" s="7" t="n">
        <v>480000</v>
      </c>
      <c r="D49" s="7" t="n">
        <v>0</v>
      </c>
      <c r="E49" s="7">
        <f>B49+C49-D49</f>
        <v/>
      </c>
      <c r="F49" s="8" t="inlineStr">
        <is>
          <t>Expenses / Depreciation and Amortization Expense</t>
        </is>
      </c>
    </row>
    <row r="50">
      <c r="A50" s="6" t="inlineStr">
        <is>
          <t>Rent Expense - Office</t>
        </is>
      </c>
      <c r="B50" s="7" t="n">
        <v>0</v>
      </c>
      <c r="C50" s="7" t="n">
        <v>240000</v>
      </c>
      <c r="D50" s="7" t="n">
        <v>0</v>
      </c>
      <c r="E50" s="7">
        <f>B50+C50-D50</f>
        <v/>
      </c>
      <c r="F50" s="8" t="inlineStr">
        <is>
          <t>Expenses / Other Expenses</t>
        </is>
      </c>
    </row>
    <row r="51">
      <c r="A51" s="6" t="inlineStr">
        <is>
          <t>Electricity Expense - Office</t>
        </is>
      </c>
      <c r="B51" s="7" t="n">
        <v>0</v>
      </c>
      <c r="C51" s="7" t="n">
        <v>65000</v>
      </c>
      <c r="D51" s="7" t="n">
        <v>0</v>
      </c>
      <c r="E51" s="7">
        <f>B51+C51-D51</f>
        <v/>
      </c>
      <c r="F51" s="8" t="inlineStr">
        <is>
          <t>Expenses / Other Expenses</t>
        </is>
      </c>
    </row>
    <row r="52">
      <c r="A52" s="6" t="inlineStr">
        <is>
          <t>Telephone and Internet Expense</t>
        </is>
      </c>
      <c r="B52" s="7" t="n">
        <v>0</v>
      </c>
      <c r="C52" s="7" t="n">
        <v>42000</v>
      </c>
      <c r="D52" s="7" t="n">
        <v>0</v>
      </c>
      <c r="E52" s="7">
        <f>B52+C52-D52</f>
        <v/>
      </c>
      <c r="F52" s="8" t="inlineStr">
        <is>
          <t>Expenses / Other Expenses</t>
        </is>
      </c>
    </row>
    <row r="53">
      <c r="A53" s="6" t="inlineStr">
        <is>
          <t>Printing and Stationery</t>
        </is>
      </c>
      <c r="B53" s="7" t="n">
        <v>0</v>
      </c>
      <c r="C53" s="7" t="n">
        <v>28000</v>
      </c>
      <c r="D53" s="7" t="n">
        <v>0</v>
      </c>
      <c r="E53" s="7">
        <f>B53+C53-D53</f>
        <v/>
      </c>
      <c r="F53" s="8" t="inlineStr">
        <is>
          <t>Expenses / Other Expenses</t>
        </is>
      </c>
    </row>
    <row r="54">
      <c r="A54" s="6" t="inlineStr">
        <is>
          <t>Travelling and Conveyance</t>
        </is>
      </c>
      <c r="B54" s="7" t="n">
        <v>0</v>
      </c>
      <c r="C54" s="7" t="n">
        <v>165000</v>
      </c>
      <c r="D54" s="7" t="n">
        <v>0</v>
      </c>
      <c r="E54" s="7">
        <f>B54+C54-D54</f>
        <v/>
      </c>
      <c r="F54" s="8" t="inlineStr">
        <is>
          <t>Expenses / Other Expenses</t>
        </is>
      </c>
    </row>
    <row r="55">
      <c r="A55" s="6" t="inlineStr">
        <is>
          <t>Legal and Professional Charges</t>
        </is>
      </c>
      <c r="B55" s="7" t="n">
        <v>0</v>
      </c>
      <c r="C55" s="7" t="n">
        <v>220000</v>
      </c>
      <c r="D55" s="7" t="n">
        <v>0</v>
      </c>
      <c r="E55" s="7">
        <f>B55+C55-D55</f>
        <v/>
      </c>
      <c r="F55" s="8" t="inlineStr">
        <is>
          <t>Expenses / Other Expenses</t>
        </is>
      </c>
    </row>
    <row r="56">
      <c r="A56" s="6" t="inlineStr">
        <is>
          <t>Audit Fee</t>
        </is>
      </c>
      <c r="B56" s="7" t="n">
        <v>0</v>
      </c>
      <c r="C56" s="7" t="n">
        <v>75000</v>
      </c>
      <c r="D56" s="7" t="n">
        <v>0</v>
      </c>
      <c r="E56" s="7">
        <f>B56+C56-D56</f>
        <v/>
      </c>
      <c r="F56" s="8" t="inlineStr">
        <is>
          <t>Expenses / Other Expenses</t>
        </is>
      </c>
    </row>
    <row r="57">
      <c r="A57" s="6" t="inlineStr">
        <is>
          <t>Insurance Expense</t>
        </is>
      </c>
      <c r="B57" s="7" t="n">
        <v>0</v>
      </c>
      <c r="C57" s="7" t="n">
        <v>58000</v>
      </c>
      <c r="D57" s="7" t="n">
        <v>0</v>
      </c>
      <c r="E57" s="7">
        <f>B57+C57-D57</f>
        <v/>
      </c>
      <c r="F57" s="8" t="inlineStr">
        <is>
          <t>Expenses / Other Expenses</t>
        </is>
      </c>
    </row>
    <row r="58">
      <c r="A58" s="6" t="inlineStr">
        <is>
          <t>Repair and Maintenance</t>
        </is>
      </c>
      <c r="B58" s="7" t="n">
        <v>0</v>
      </c>
      <c r="C58" s="7" t="n">
        <v>95000</v>
      </c>
      <c r="D58" s="7" t="n">
        <v>0</v>
      </c>
      <c r="E58" s="7">
        <f>B58+C58-D58</f>
        <v/>
      </c>
      <c r="F58" s="8" t="inlineStr">
        <is>
          <t>Expenses / Other Expenses</t>
        </is>
      </c>
    </row>
    <row r="59">
      <c r="A59" s="6" t="inlineStr">
        <is>
          <t>Advertisement Expense</t>
        </is>
      </c>
      <c r="B59" s="7" t="n">
        <v>0</v>
      </c>
      <c r="C59" s="7" t="n">
        <v>145000</v>
      </c>
      <c r="D59" s="7" t="n">
        <v>0</v>
      </c>
      <c r="E59" s="7">
        <f>B59+C59-D59</f>
        <v/>
      </c>
      <c r="F59" s="8" t="inlineStr">
        <is>
          <t>Expenses / Other Expenses</t>
        </is>
      </c>
    </row>
    <row r="60">
      <c r="A60" s="6" t="inlineStr">
        <is>
          <t>Freight Outward</t>
        </is>
      </c>
      <c r="B60" s="7" t="n">
        <v>0</v>
      </c>
      <c r="C60" s="7" t="n">
        <v>210000</v>
      </c>
      <c r="D60" s="7" t="n">
        <v>0</v>
      </c>
      <c r="E60" s="7">
        <f>B60+C60-D60</f>
        <v/>
      </c>
      <c r="F60" s="8" t="inlineStr">
        <is>
          <t>Expenses / Other Expenses</t>
        </is>
      </c>
    </row>
    <row r="61">
      <c r="A61" s="6" t="inlineStr">
        <is>
          <t>Miscellaneous Expense</t>
        </is>
      </c>
      <c r="B61" s="7" t="n">
        <v>0</v>
      </c>
      <c r="C61" s="7" t="n">
        <v>6747000</v>
      </c>
      <c r="D61" s="7" t="n">
        <v>0</v>
      </c>
      <c r="E61" s="7">
        <f>B61+C61-D61</f>
        <v/>
      </c>
      <c r="F61" s="8" t="inlineStr">
        <is>
          <t>Expenses / Other Expenses</t>
        </is>
      </c>
    </row>
    <row r="62">
      <c r="A62" s="9" t="inlineStr">
        <is>
          <t>Total</t>
        </is>
      </c>
      <c r="B62" s="10">
        <f>SUM(B7:B61)</f>
        <v/>
      </c>
      <c r="C62" s="10">
        <f>SUM(C7:C61)</f>
        <v/>
      </c>
      <c r="D62" s="10">
        <f>SUM(D7:D61)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30" customWidth="1" min="4" max="4"/>
    <col width="18" customWidth="1" min="5" max="5"/>
    <col width="12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Bharat Precision Components Private Limited</t>
        </is>
      </c>
    </row>
    <row r="2">
      <c r="A2" s="2" t="inlineStr">
        <is>
          <t>Ledger Mapping (Editable)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A6" s="11" t="inlineStr">
        <is>
          <t>Ledger Name</t>
        </is>
      </c>
      <c r="B6" s="11" t="inlineStr">
        <is>
          <t>Closing Balance</t>
        </is>
      </c>
      <c r="C6" s="11" t="inlineStr">
        <is>
          <t>Major Head</t>
        </is>
      </c>
      <c r="D6" s="11" t="inlineStr">
        <is>
          <t>Sub Head</t>
        </is>
      </c>
      <c r="E6" s="11" t="inlineStr">
        <is>
          <t>Current / Non-Current</t>
        </is>
      </c>
      <c r="F6" s="11" t="inlineStr">
        <is>
          <t>Nature</t>
        </is>
      </c>
      <c r="G6" s="11" t="inlineStr">
        <is>
          <t>Note Reference</t>
        </is>
      </c>
      <c r="H6" s="11" t="inlineStr">
        <is>
          <t>Source</t>
        </is>
      </c>
      <c r="I6" s="11" t="inlineStr">
        <is>
          <t>Confidence</t>
        </is>
      </c>
    </row>
    <row r="7">
      <c r="A7" s="6" t="inlineStr">
        <is>
          <t>Equity Share Capital</t>
        </is>
      </c>
      <c r="B7" s="12" t="n">
        <v>-5000000</v>
      </c>
      <c r="C7" s="6" t="inlineStr">
        <is>
          <t>Shareholders' Funds</t>
        </is>
      </c>
      <c r="D7" s="6" t="inlineStr">
        <is>
          <t>Share Capital</t>
        </is>
      </c>
      <c r="E7" s="6" t="inlineStr">
        <is>
          <t>NOT_APPLICABLE</t>
        </is>
      </c>
      <c r="F7" s="6" t="inlineStr">
        <is>
          <t>CREDIT</t>
        </is>
      </c>
      <c r="G7" s="6" t="inlineStr">
        <is>
          <t>Note 1 - Share Capital</t>
        </is>
      </c>
      <c r="H7" s="6" t="inlineStr">
        <is>
          <t>RULE_ENGINE</t>
        </is>
      </c>
      <c r="I7" s="6" t="n">
        <v>0.65</v>
      </c>
    </row>
    <row r="8">
      <c r="A8" s="6" t="inlineStr">
        <is>
          <t>General Reserve</t>
        </is>
      </c>
      <c r="B8" s="12" t="n">
        <v>-1200000</v>
      </c>
      <c r="C8" s="6" t="inlineStr">
        <is>
          <t>Shareholders' Funds</t>
        </is>
      </c>
      <c r="D8" s="6" t="inlineStr">
        <is>
          <t>Reserves and Surplus</t>
        </is>
      </c>
      <c r="E8" s="6" t="inlineStr">
        <is>
          <t>NOT_APPLICABLE</t>
        </is>
      </c>
      <c r="F8" s="6" t="inlineStr">
        <is>
          <t>CREDIT</t>
        </is>
      </c>
      <c r="G8" s="6" t="inlineStr">
        <is>
          <t>Note 2 - Reserves and Surplus</t>
        </is>
      </c>
      <c r="H8" s="6" t="inlineStr">
        <is>
          <t>RULE_ENGINE</t>
        </is>
      </c>
      <c r="I8" s="6" t="n">
        <v>0.65</v>
      </c>
    </row>
    <row r="9">
      <c r="A9" s="6" t="inlineStr">
        <is>
          <t>Profit and Loss Appropriation A/c</t>
        </is>
      </c>
      <c r="B9" s="12" t="n">
        <v>-950000</v>
      </c>
      <c r="C9" s="6" t="inlineStr">
        <is>
          <t>Shareholders' Funds</t>
        </is>
      </c>
      <c r="D9" s="6" t="inlineStr">
        <is>
          <t>Reserves and Surplus</t>
        </is>
      </c>
      <c r="E9" s="6" t="inlineStr">
        <is>
          <t>NOT_APPLICABLE</t>
        </is>
      </c>
      <c r="F9" s="6" t="inlineStr">
        <is>
          <t>CREDIT</t>
        </is>
      </c>
      <c r="G9" s="6" t="inlineStr">
        <is>
          <t>Note 2 - Reserves and Surplus</t>
        </is>
      </c>
      <c r="H9" s="6" t="inlineStr">
        <is>
          <t>RULE_ENGINE</t>
        </is>
      </c>
      <c r="I9" s="6" t="n">
        <v>0.75</v>
      </c>
    </row>
    <row r="10">
      <c r="A10" s="6" t="inlineStr">
        <is>
          <t>Term Loan - HDFC Bank</t>
        </is>
      </c>
      <c r="B10" s="12" t="n">
        <v>-2200000</v>
      </c>
      <c r="C10" s="6" t="inlineStr">
        <is>
          <t>Non-Current Liabilities</t>
        </is>
      </c>
      <c r="D10" s="6" t="inlineStr">
        <is>
          <t>Long-Term Borrowings</t>
        </is>
      </c>
      <c r="E10" s="6" t="inlineStr">
        <is>
          <t>NON_CURRENT</t>
        </is>
      </c>
      <c r="F10" s="6" t="inlineStr">
        <is>
          <t>CREDIT</t>
        </is>
      </c>
      <c r="G10" s="6" t="inlineStr">
        <is>
          <t>Note 3 - Long-Term Borrowings</t>
        </is>
      </c>
      <c r="H10" s="6" t="inlineStr">
        <is>
          <t>RULE_ENGINE</t>
        </is>
      </c>
      <c r="I10" s="6" t="n">
        <v>0.65</v>
      </c>
    </row>
    <row r="11">
      <c r="A11" s="6" t="inlineStr">
        <is>
          <t>Loan from Director</t>
        </is>
      </c>
      <c r="B11" s="12" t="n">
        <v>-500000</v>
      </c>
      <c r="C11" s="6" t="inlineStr">
        <is>
          <t>Non-Current Liabilities</t>
        </is>
      </c>
      <c r="D11" s="6" t="inlineStr">
        <is>
          <t>Long-Term Borrowings</t>
        </is>
      </c>
      <c r="E11" s="6" t="inlineStr">
        <is>
          <t>NON_CURRENT</t>
        </is>
      </c>
      <c r="F11" s="6" t="inlineStr">
        <is>
          <t>CREDIT</t>
        </is>
      </c>
      <c r="G11" s="6" t="inlineStr">
        <is>
          <t>Note 3 - Long-Term Borrowings</t>
        </is>
      </c>
      <c r="H11" s="6" t="inlineStr">
        <is>
          <t>RULE_ENGINE</t>
        </is>
      </c>
      <c r="I11" s="6" t="n">
        <v>0.7000000000000001</v>
      </c>
    </row>
    <row r="12">
      <c r="A12" s="6" t="inlineStr">
        <is>
          <t>Cash Credit A/c - Axis Bank</t>
        </is>
      </c>
      <c r="B12" s="12" t="n">
        <v>-780000</v>
      </c>
      <c r="C12" s="6" t="inlineStr">
        <is>
          <t>Current Liabilities</t>
        </is>
      </c>
      <c r="D12" s="6" t="inlineStr">
        <is>
          <t>Short-Term Borrowings</t>
        </is>
      </c>
      <c r="E12" s="6" t="inlineStr">
        <is>
          <t>CURRENT</t>
        </is>
      </c>
      <c r="F12" s="6" t="inlineStr">
        <is>
          <t>CREDIT</t>
        </is>
      </c>
      <c r="G12" s="6" t="inlineStr">
        <is>
          <t>Note 9 - Short-Term Borrowings</t>
        </is>
      </c>
      <c r="H12" s="6" t="inlineStr">
        <is>
          <t>RULE_ENGINE</t>
        </is>
      </c>
      <c r="I12" s="6" t="n">
        <v>0.65</v>
      </c>
    </row>
    <row r="13">
      <c r="A13" s="6" t="inlineStr">
        <is>
          <t>Sundry Creditors - Raw Material</t>
        </is>
      </c>
      <c r="B13" s="12" t="n">
        <v>-1650000</v>
      </c>
      <c r="C13" s="6" t="inlineStr">
        <is>
          <t>Current Liabilities</t>
        </is>
      </c>
      <c r="D13" s="6" t="inlineStr">
        <is>
          <t>Trade Payables</t>
        </is>
      </c>
      <c r="E13" s="6" t="inlineStr">
        <is>
          <t>CURRENT</t>
        </is>
      </c>
      <c r="F13" s="6" t="inlineStr">
        <is>
          <t>CREDIT</t>
        </is>
      </c>
      <c r="G13" s="6" t="inlineStr">
        <is>
          <t>Note 10 - Trade Payables</t>
        </is>
      </c>
      <c r="H13" s="6" t="inlineStr">
        <is>
          <t>RULE_ENGINE</t>
        </is>
      </c>
      <c r="I13" s="6" t="n">
        <v>0.65</v>
      </c>
    </row>
    <row r="14">
      <c r="A14" s="6" t="inlineStr">
        <is>
          <t>GST Output CGST</t>
        </is>
      </c>
      <c r="B14" s="12" t="n">
        <v>-210000</v>
      </c>
      <c r="C14" s="6" t="inlineStr">
        <is>
          <t>Current Liabilities</t>
        </is>
      </c>
      <c r="D14" s="6" t="inlineStr">
        <is>
          <t>Other Current Liabilities</t>
        </is>
      </c>
      <c r="E14" s="6" t="inlineStr">
        <is>
          <t>CURRENT</t>
        </is>
      </c>
      <c r="F14" s="6" t="inlineStr">
        <is>
          <t>CREDIT</t>
        </is>
      </c>
      <c r="G14" s="6" t="inlineStr">
        <is>
          <t>Note 11 - Other Current Liabilities</t>
        </is>
      </c>
      <c r="H14" s="6" t="inlineStr">
        <is>
          <t>RULE_ENGINE</t>
        </is>
      </c>
      <c r="I14" s="6" t="n">
        <v>0.65</v>
      </c>
    </row>
    <row r="15">
      <c r="A15" s="6" t="inlineStr">
        <is>
          <t>GST Output SGST</t>
        </is>
      </c>
      <c r="B15" s="12" t="n">
        <v>-210000</v>
      </c>
      <c r="C15" s="6" t="inlineStr">
        <is>
          <t>Current Liabilities</t>
        </is>
      </c>
      <c r="D15" s="6" t="inlineStr">
        <is>
          <t>Other Current Liabilities</t>
        </is>
      </c>
      <c r="E15" s="6" t="inlineStr">
        <is>
          <t>CURRENT</t>
        </is>
      </c>
      <c r="F15" s="6" t="inlineStr">
        <is>
          <t>CREDIT</t>
        </is>
      </c>
      <c r="G15" s="6" t="inlineStr">
        <is>
          <t>Note 11 - Other Current Liabilities</t>
        </is>
      </c>
      <c r="H15" s="6" t="inlineStr">
        <is>
          <t>RULE_ENGINE</t>
        </is>
      </c>
      <c r="I15" s="6" t="n">
        <v>0.65</v>
      </c>
    </row>
    <row r="16">
      <c r="A16" s="6" t="inlineStr">
        <is>
          <t>TDS Payable on Salary</t>
        </is>
      </c>
      <c r="B16" s="12" t="n">
        <v>-45000</v>
      </c>
      <c r="C16" s="6" t="inlineStr">
        <is>
          <t>Current Liabilities</t>
        </is>
      </c>
      <c r="D16" s="6" t="inlineStr">
        <is>
          <t>Other Current Liabilities</t>
        </is>
      </c>
      <c r="E16" s="6" t="inlineStr">
        <is>
          <t>CURRENT</t>
        </is>
      </c>
      <c r="F16" s="6" t="inlineStr">
        <is>
          <t>CREDIT</t>
        </is>
      </c>
      <c r="G16" s="6" t="inlineStr">
        <is>
          <t>Note 11 - Other Current Liabilities</t>
        </is>
      </c>
      <c r="H16" s="6" t="inlineStr">
        <is>
          <t>RULE_ENGINE</t>
        </is>
      </c>
      <c r="I16" s="6" t="n">
        <v>0.65</v>
      </c>
    </row>
    <row r="17">
      <c r="A17" s="6" t="inlineStr">
        <is>
          <t>Provision for Income Tax</t>
        </is>
      </c>
      <c r="B17" s="12" t="n">
        <v>-320000</v>
      </c>
      <c r="C17" s="6" t="inlineStr">
        <is>
          <t>Current Liabilities</t>
        </is>
      </c>
      <c r="D17" s="6" t="inlineStr">
        <is>
          <t>Short-Term Provisions</t>
        </is>
      </c>
      <c r="E17" s="6" t="inlineStr">
        <is>
          <t>CURRENT</t>
        </is>
      </c>
      <c r="F17" s="6" t="inlineStr">
        <is>
          <t>CREDIT</t>
        </is>
      </c>
      <c r="G17" s="6" t="inlineStr">
        <is>
          <t>Note 13 - Short-Term Provisions</t>
        </is>
      </c>
      <c r="H17" s="6" t="inlineStr">
        <is>
          <t>RULE_ENGINE</t>
        </is>
      </c>
      <c r="I17" s="6" t="n">
        <v>0.75</v>
      </c>
    </row>
    <row r="18">
      <c r="A18" s="6" t="inlineStr">
        <is>
          <t>Salary Payable</t>
        </is>
      </c>
      <c r="B18" s="12" t="n">
        <v>-95000</v>
      </c>
      <c r="C18" s="6" t="inlineStr">
        <is>
          <t>Current Liabilities</t>
        </is>
      </c>
      <c r="D18" s="6" t="inlineStr">
        <is>
          <t>Short-Term Provisions</t>
        </is>
      </c>
      <c r="E18" s="6" t="inlineStr">
        <is>
          <t>CURRENT</t>
        </is>
      </c>
      <c r="F18" s="6" t="inlineStr">
        <is>
          <t>CREDIT</t>
        </is>
      </c>
      <c r="G18" s="6" t="inlineStr">
        <is>
          <t>Note 13 - Short-Term Provisions</t>
        </is>
      </c>
      <c r="H18" s="6" t="inlineStr">
        <is>
          <t>RULE_ENGINE</t>
        </is>
      </c>
      <c r="I18" s="6" t="n">
        <v>0.65</v>
      </c>
    </row>
    <row r="19">
      <c r="A19" s="6" t="inlineStr">
        <is>
          <t>Provision for Gratuity</t>
        </is>
      </c>
      <c r="B19" s="12" t="n">
        <v>-180000</v>
      </c>
      <c r="C19" s="6" t="inlineStr">
        <is>
          <t>Long-Term Provisions</t>
        </is>
      </c>
      <c r="D19" s="6" t="inlineStr">
        <is>
          <t>Long-Term Provisions</t>
        </is>
      </c>
      <c r="E19" s="6" t="inlineStr">
        <is>
          <t>NON_CURRENT</t>
        </is>
      </c>
      <c r="F19" s="6" t="inlineStr">
        <is>
          <t>CREDIT</t>
        </is>
      </c>
      <c r="G19" s="6" t="inlineStr">
        <is>
          <t>Note 4 - Long-Term Provisions</t>
        </is>
      </c>
      <c r="H19" s="6" t="inlineStr">
        <is>
          <t>RULE_ENGINE</t>
        </is>
      </c>
      <c r="I19" s="6" t="n">
        <v>0.7000000000000001</v>
      </c>
    </row>
    <row r="20">
      <c r="A20" s="6" t="inlineStr">
        <is>
          <t>Accumulated Depreciation - Plant and Machinery</t>
        </is>
      </c>
      <c r="B20" s="12" t="n">
        <v>-980000</v>
      </c>
      <c r="C20" s="6" t="inlineStr">
        <is>
          <t>Non-Current Assets</t>
        </is>
      </c>
      <c r="D20" s="6" t="inlineStr">
        <is>
          <t>Property, Plant and Equipment</t>
        </is>
      </c>
      <c r="E20" s="6" t="inlineStr">
        <is>
          <t>NON_CURRENT</t>
        </is>
      </c>
      <c r="F20" s="6" t="inlineStr">
        <is>
          <t>DEBIT</t>
        </is>
      </c>
      <c r="G20" s="6" t="inlineStr">
        <is>
          <t>Note 5 - Property, Plant and Equipment</t>
        </is>
      </c>
      <c r="H20" s="6" t="inlineStr">
        <is>
          <t>RULE_ENGINE</t>
        </is>
      </c>
      <c r="I20" s="6" t="n">
        <v>0.7000000000000001</v>
      </c>
    </row>
    <row r="21">
      <c r="A21" s="6" t="inlineStr">
        <is>
          <t>Plant and Machinery</t>
        </is>
      </c>
      <c r="B21" s="12" t="n">
        <v>3650000</v>
      </c>
      <c r="C21" s="6" t="inlineStr">
        <is>
          <t>Non-Current Assets</t>
        </is>
      </c>
      <c r="D21" s="6" t="inlineStr">
        <is>
          <t>Property, Plant and Equipment</t>
        </is>
      </c>
      <c r="E21" s="6" t="inlineStr">
        <is>
          <t>NON_CURRENT</t>
        </is>
      </c>
      <c r="F21" s="6" t="inlineStr">
        <is>
          <t>DEBIT</t>
        </is>
      </c>
      <c r="G21" s="6" t="inlineStr">
        <is>
          <t>Note 5 - Property, Plant and Equipment</t>
        </is>
      </c>
      <c r="H21" s="6" t="inlineStr">
        <is>
          <t>RULE_ENGINE</t>
        </is>
      </c>
      <c r="I21" s="6" t="n">
        <v>0.7000000000000001</v>
      </c>
    </row>
    <row r="22">
      <c r="A22" s="6" t="inlineStr">
        <is>
          <t>Computer</t>
        </is>
      </c>
      <c r="B22" s="12" t="n">
        <v>220000</v>
      </c>
      <c r="C22" s="6" t="inlineStr">
        <is>
          <t>Non-Current Assets</t>
        </is>
      </c>
      <c r="D22" s="6" t="inlineStr">
        <is>
          <t>Property, Plant and Equipment</t>
        </is>
      </c>
      <c r="E22" s="6" t="inlineStr">
        <is>
          <t>NON_CURRENT</t>
        </is>
      </c>
      <c r="F22" s="6" t="inlineStr">
        <is>
          <t>DEBIT</t>
        </is>
      </c>
      <c r="G22" s="6" t="inlineStr">
        <is>
          <t>Note 5 - Property, Plant and Equipment</t>
        </is>
      </c>
      <c r="H22" s="6" t="inlineStr">
        <is>
          <t>RULE_ENGINE</t>
        </is>
      </c>
      <c r="I22" s="6" t="n">
        <v>0.6000000000000001</v>
      </c>
    </row>
    <row r="23">
      <c r="A23" s="6" t="inlineStr">
        <is>
          <t>Office Furniture</t>
        </is>
      </c>
      <c r="B23" s="12" t="n">
        <v>220000</v>
      </c>
      <c r="C23" s="6" t="inlineStr">
        <is>
          <t>Non-Current Assets</t>
        </is>
      </c>
      <c r="D23" s="6" t="inlineStr">
        <is>
          <t>Property, Plant and Equipment</t>
        </is>
      </c>
      <c r="E23" s="6" t="inlineStr">
        <is>
          <t>NON_CURRENT</t>
        </is>
      </c>
      <c r="F23" s="6" t="inlineStr">
        <is>
          <t>DEBIT</t>
        </is>
      </c>
      <c r="G23" s="6" t="inlineStr">
        <is>
          <t>Note 5 - Property, Plant and Equipment</t>
        </is>
      </c>
      <c r="H23" s="6" t="inlineStr">
        <is>
          <t>RULE_ENGINE</t>
        </is>
      </c>
      <c r="I23" s="6" t="n">
        <v>0.6000000000000001</v>
      </c>
    </row>
    <row r="24">
      <c r="A24" s="6" t="inlineStr">
        <is>
          <t>Capital Work in Progress</t>
        </is>
      </c>
      <c r="B24" s="12" t="n">
        <v>150000</v>
      </c>
      <c r="C24" s="6" t="inlineStr">
        <is>
          <t>Non-Current Assets</t>
        </is>
      </c>
      <c r="D24" s="6" t="inlineStr">
        <is>
          <t>Capital Work-in-Progress</t>
        </is>
      </c>
      <c r="E24" s="6" t="inlineStr">
        <is>
          <t>NON_CURRENT</t>
        </is>
      </c>
      <c r="F24" s="6" t="inlineStr">
        <is>
          <t>DEBIT</t>
        </is>
      </c>
      <c r="G24" s="6" t="inlineStr">
        <is>
          <t>Note 6 - Capital Work-in-Progress</t>
        </is>
      </c>
      <c r="H24" s="6" t="inlineStr">
        <is>
          <t>RULE_ENGINE</t>
        </is>
      </c>
      <c r="I24" s="6" t="n">
        <v>0.75</v>
      </c>
    </row>
    <row r="25">
      <c r="A25" s="6" t="inlineStr">
        <is>
          <t>Software License</t>
        </is>
      </c>
      <c r="B25" s="12" t="n">
        <v>90000</v>
      </c>
      <c r="C25" s="6" t="inlineStr">
        <is>
          <t>Non-Current Assets</t>
        </is>
      </c>
      <c r="D25" s="6" t="inlineStr">
        <is>
          <t>Intangible Assets</t>
        </is>
      </c>
      <c r="E25" s="6" t="inlineStr">
        <is>
          <t>NON_CURRENT</t>
        </is>
      </c>
      <c r="F25" s="6" t="inlineStr">
        <is>
          <t>DEBIT</t>
        </is>
      </c>
      <c r="G25" s="6" t="inlineStr">
        <is>
          <t>Note 7 - Intangible Assets</t>
        </is>
      </c>
      <c r="H25" s="6" t="inlineStr">
        <is>
          <t>RULE_ENGINE</t>
        </is>
      </c>
      <c r="I25" s="6" t="n">
        <v>0.65</v>
      </c>
    </row>
    <row r="26">
      <c r="A26" s="6" t="inlineStr">
        <is>
          <t>Investment in Mutual Fund</t>
        </is>
      </c>
      <c r="B26" s="12" t="n">
        <v>500000</v>
      </c>
      <c r="C26" s="6" t="inlineStr">
        <is>
          <t>Non-Current Assets</t>
        </is>
      </c>
      <c r="D26" s="6" t="inlineStr">
        <is>
          <t>Non-Current Investments</t>
        </is>
      </c>
      <c r="E26" s="6" t="inlineStr">
        <is>
          <t>NON_CURRENT</t>
        </is>
      </c>
      <c r="F26" s="6" t="inlineStr">
        <is>
          <t>DEBIT</t>
        </is>
      </c>
      <c r="G26" s="6" t="inlineStr">
        <is>
          <t>Note 8 - Non-Current Investments</t>
        </is>
      </c>
      <c r="H26" s="6" t="inlineStr">
        <is>
          <t>RULE_ENGINE</t>
        </is>
      </c>
      <c r="I26" s="6" t="n">
        <v>0.65</v>
      </c>
    </row>
    <row r="27">
      <c r="A27" s="6" t="inlineStr">
        <is>
          <t>Closing Stock - Raw Material</t>
        </is>
      </c>
      <c r="B27" s="12" t="n">
        <v>620000</v>
      </c>
      <c r="C27" s="6" t="inlineStr">
        <is>
          <t>Current Assets</t>
        </is>
      </c>
      <c r="D27" s="6" t="inlineStr">
        <is>
          <t>Inventories</t>
        </is>
      </c>
      <c r="E27" s="6" t="inlineStr">
        <is>
          <t>CURRENT</t>
        </is>
      </c>
      <c r="F27" s="6" t="inlineStr">
        <is>
          <t>DEBIT</t>
        </is>
      </c>
      <c r="G27" s="6" t="inlineStr">
        <is>
          <t>Note 14 - Inventories</t>
        </is>
      </c>
      <c r="H27" s="6" t="inlineStr">
        <is>
          <t>RULE_ENGINE</t>
        </is>
      </c>
      <c r="I27" s="6" t="n">
        <v>0.65</v>
      </c>
    </row>
    <row r="28">
      <c r="A28" s="6" t="inlineStr">
        <is>
          <t>Closing Stock - Finished Goods</t>
        </is>
      </c>
      <c r="B28" s="12" t="n">
        <v>780000</v>
      </c>
      <c r="C28" s="6" t="inlineStr">
        <is>
          <t>Current Assets</t>
        </is>
      </c>
      <c r="D28" s="6" t="inlineStr">
        <is>
          <t>Inventories</t>
        </is>
      </c>
      <c r="E28" s="6" t="inlineStr">
        <is>
          <t>CURRENT</t>
        </is>
      </c>
      <c r="F28" s="6" t="inlineStr">
        <is>
          <t>DEBIT</t>
        </is>
      </c>
      <c r="G28" s="6" t="inlineStr">
        <is>
          <t>Note 14 - Inventories</t>
        </is>
      </c>
      <c r="H28" s="6" t="inlineStr">
        <is>
          <t>RULE_ENGINE</t>
        </is>
      </c>
      <c r="I28" s="6" t="n">
        <v>0.65</v>
      </c>
    </row>
    <row r="29">
      <c r="A29" s="6" t="inlineStr">
        <is>
          <t>Sundry Debtors - Trade</t>
        </is>
      </c>
      <c r="B29" s="12" t="n">
        <v>1450000</v>
      </c>
      <c r="C29" s="6" t="inlineStr">
        <is>
          <t>Current Assets</t>
        </is>
      </c>
      <c r="D29" s="6" t="inlineStr">
        <is>
          <t>Trade Receivables</t>
        </is>
      </c>
      <c r="E29" s="6" t="inlineStr">
        <is>
          <t>CURRENT</t>
        </is>
      </c>
      <c r="F29" s="6" t="inlineStr">
        <is>
          <t>DEBIT</t>
        </is>
      </c>
      <c r="G29" s="6" t="inlineStr">
        <is>
          <t>Note 15 - Trade Receivables</t>
        </is>
      </c>
      <c r="H29" s="6" t="inlineStr">
        <is>
          <t>RULE_ENGINE</t>
        </is>
      </c>
      <c r="I29" s="6" t="n">
        <v>0.65</v>
      </c>
    </row>
    <row r="30">
      <c r="A30" s="6" t="inlineStr">
        <is>
          <t>Cash in Hand</t>
        </is>
      </c>
      <c r="B30" s="12" t="n">
        <v>45000</v>
      </c>
      <c r="C30" s="6" t="inlineStr">
        <is>
          <t>Current Assets</t>
        </is>
      </c>
      <c r="D30" s="6" t="inlineStr">
        <is>
          <t>Cash and Cash Equivalents</t>
        </is>
      </c>
      <c r="E30" s="6" t="inlineStr">
        <is>
          <t>CURRENT</t>
        </is>
      </c>
      <c r="F30" s="6" t="inlineStr">
        <is>
          <t>DEBIT</t>
        </is>
      </c>
      <c r="G30" s="6" t="inlineStr">
        <is>
          <t>Note 16 - Cash and Cash Equivalents</t>
        </is>
      </c>
      <c r="H30" s="6" t="inlineStr">
        <is>
          <t>RULE_ENGINE</t>
        </is>
      </c>
      <c r="I30" s="6" t="n">
        <v>0.7000000000000001</v>
      </c>
    </row>
    <row r="31">
      <c r="A31" s="6" t="inlineStr">
        <is>
          <t>HDFC Bank Current A/c</t>
        </is>
      </c>
      <c r="B31" s="12" t="n">
        <v>620000</v>
      </c>
      <c r="C31" s="6" t="inlineStr">
        <is>
          <t>Current Assets</t>
        </is>
      </c>
      <c r="D31" s="6" t="inlineStr">
        <is>
          <t>Cash and Cash Equivalents</t>
        </is>
      </c>
      <c r="E31" s="6" t="inlineStr">
        <is>
          <t>CURRENT</t>
        </is>
      </c>
      <c r="F31" s="6" t="inlineStr">
        <is>
          <t>DEBIT</t>
        </is>
      </c>
      <c r="G31" s="6" t="inlineStr">
        <is>
          <t>Note 16 - Cash and Cash Equivalents</t>
        </is>
      </c>
      <c r="H31" s="6" t="inlineStr">
        <is>
          <t>RULE_ENGINE</t>
        </is>
      </c>
      <c r="I31" s="6" t="n">
        <v>0.6000000000000001</v>
      </c>
    </row>
    <row r="32">
      <c r="A32" s="6" t="inlineStr">
        <is>
          <t>GST Input CGST</t>
        </is>
      </c>
      <c r="B32" s="12" t="n">
        <v>195000</v>
      </c>
      <c r="C32" s="6" t="inlineStr">
        <is>
          <t>Current Assets</t>
        </is>
      </c>
      <c r="D32" s="6" t="inlineStr">
        <is>
          <t>Other Current Assets</t>
        </is>
      </c>
      <c r="E32" s="6" t="inlineStr">
        <is>
          <t>CURRENT</t>
        </is>
      </c>
      <c r="F32" s="6" t="inlineStr">
        <is>
          <t>DEBIT</t>
        </is>
      </c>
      <c r="G32" s="6" t="inlineStr">
        <is>
          <t>Note 17 - Other Current Assets</t>
        </is>
      </c>
      <c r="H32" s="6" t="inlineStr">
        <is>
          <t>RULE_ENGINE</t>
        </is>
      </c>
      <c r="I32" s="6" t="n">
        <v>0.65</v>
      </c>
    </row>
    <row r="33">
      <c r="A33" s="6" t="inlineStr">
        <is>
          <t>GST Input SGST</t>
        </is>
      </c>
      <c r="B33" s="12" t="n">
        <v>195000</v>
      </c>
      <c r="C33" s="6" t="inlineStr">
        <is>
          <t>Current Assets</t>
        </is>
      </c>
      <c r="D33" s="6" t="inlineStr">
        <is>
          <t>Other Current Assets</t>
        </is>
      </c>
      <c r="E33" s="6" t="inlineStr">
        <is>
          <t>CURRENT</t>
        </is>
      </c>
      <c r="F33" s="6" t="inlineStr">
        <is>
          <t>DEBIT</t>
        </is>
      </c>
      <c r="G33" s="6" t="inlineStr">
        <is>
          <t>Note 17 - Other Current Assets</t>
        </is>
      </c>
      <c r="H33" s="6" t="inlineStr">
        <is>
          <t>RULE_ENGINE</t>
        </is>
      </c>
      <c r="I33" s="6" t="n">
        <v>0.65</v>
      </c>
    </row>
    <row r="34">
      <c r="A34" s="6" t="inlineStr">
        <is>
          <t>TDS Receivable</t>
        </is>
      </c>
      <c r="B34" s="12" t="n">
        <v>38000</v>
      </c>
      <c r="C34" s="6" t="inlineStr">
        <is>
          <t>Current Assets</t>
        </is>
      </c>
      <c r="D34" s="6" t="inlineStr">
        <is>
          <t>Other Current Assets</t>
        </is>
      </c>
      <c r="E34" s="6" t="inlineStr">
        <is>
          <t>CURRENT</t>
        </is>
      </c>
      <c r="F34" s="6" t="inlineStr">
        <is>
          <t>DEBIT</t>
        </is>
      </c>
      <c r="G34" s="6" t="inlineStr">
        <is>
          <t>Note 17 - Other Current Assets</t>
        </is>
      </c>
      <c r="H34" s="6" t="inlineStr">
        <is>
          <t>RULE_ENGINE</t>
        </is>
      </c>
      <c r="I34" s="6" t="n">
        <v>0.65</v>
      </c>
    </row>
    <row r="35">
      <c r="A35" s="6" t="inlineStr">
        <is>
          <t>Security Deposit Given - Rent</t>
        </is>
      </c>
      <c r="B35" s="12" t="n">
        <v>100000</v>
      </c>
      <c r="C35" s="6" t="inlineStr">
        <is>
          <t>Current Assets</t>
        </is>
      </c>
      <c r="D35" s="6" t="inlineStr">
        <is>
          <t>Short-Term Loans and Advances</t>
        </is>
      </c>
      <c r="E35" s="6" t="inlineStr">
        <is>
          <t>CURRENT</t>
        </is>
      </c>
      <c r="F35" s="6" t="inlineStr">
        <is>
          <t>DEBIT</t>
        </is>
      </c>
      <c r="G35" s="6" t="inlineStr">
        <is>
          <t>Note 18 - Short-Term Loans and Advances</t>
        </is>
      </c>
      <c r="H35" s="6" t="inlineStr">
        <is>
          <t>RULE_ENGINE</t>
        </is>
      </c>
      <c r="I35" s="6" t="n">
        <v>0.7000000000000001</v>
      </c>
    </row>
    <row r="36">
      <c r="A36" s="6" t="inlineStr">
        <is>
          <t>Prepaid Insurance</t>
        </is>
      </c>
      <c r="B36" s="12" t="n">
        <v>25000</v>
      </c>
      <c r="C36" s="6" t="inlineStr">
        <is>
          <t>Current Assets</t>
        </is>
      </c>
      <c r="D36" s="6" t="inlineStr">
        <is>
          <t>Other Current Assets</t>
        </is>
      </c>
      <c r="E36" s="6" t="inlineStr">
        <is>
          <t>CURRENT</t>
        </is>
      </c>
      <c r="F36" s="6" t="inlineStr">
        <is>
          <t>DEBIT</t>
        </is>
      </c>
      <c r="G36" s="6" t="inlineStr">
        <is>
          <t>Note 17 - Other Current Assets</t>
        </is>
      </c>
      <c r="H36" s="6" t="inlineStr">
        <is>
          <t>RULE_ENGINE</t>
        </is>
      </c>
      <c r="I36" s="6" t="n">
        <v>0.65</v>
      </c>
    </row>
    <row r="37">
      <c r="A37" s="6" t="inlineStr">
        <is>
          <t>Sales - Domestic</t>
        </is>
      </c>
      <c r="B37" s="12" t="n">
        <v>-12500000</v>
      </c>
      <c r="C37" s="6" t="inlineStr">
        <is>
          <t>Revenue</t>
        </is>
      </c>
      <c r="D37" s="6" t="inlineStr">
        <is>
          <t>Revenue from Operations</t>
        </is>
      </c>
      <c r="E37" s="6" t="inlineStr">
        <is>
          <t>NOT_APPLICABLE</t>
        </is>
      </c>
      <c r="F37" s="6" t="inlineStr">
        <is>
          <t>CREDIT</t>
        </is>
      </c>
      <c r="G37" s="6" t="inlineStr">
        <is>
          <t>Note 19 - Revenue from Operations</t>
        </is>
      </c>
      <c r="H37" s="6" t="inlineStr">
        <is>
          <t>RULE_ENGINE</t>
        </is>
      </c>
      <c r="I37" s="6" t="n">
        <v>0.6000000000000001</v>
      </c>
    </row>
    <row r="38">
      <c r="A38" s="6" t="inlineStr">
        <is>
          <t>Export Sales</t>
        </is>
      </c>
      <c r="B38" s="12" t="n">
        <v>-1800000</v>
      </c>
      <c r="C38" s="6" t="inlineStr">
        <is>
          <t>Revenue</t>
        </is>
      </c>
      <c r="D38" s="6" t="inlineStr">
        <is>
          <t>Revenue from Operations</t>
        </is>
      </c>
      <c r="E38" s="6" t="inlineStr">
        <is>
          <t>NOT_APPLICABLE</t>
        </is>
      </c>
      <c r="F38" s="6" t="inlineStr">
        <is>
          <t>CREDIT</t>
        </is>
      </c>
      <c r="G38" s="6" t="inlineStr">
        <is>
          <t>Note 19 - Revenue from Operations</t>
        </is>
      </c>
      <c r="H38" s="6" t="inlineStr">
        <is>
          <t>RULE_ENGINE</t>
        </is>
      </c>
      <c r="I38" s="6" t="n">
        <v>0.6000000000000001</v>
      </c>
    </row>
    <row r="39">
      <c r="A39" s="6" t="inlineStr">
        <is>
          <t>Interest Income</t>
        </is>
      </c>
      <c r="B39" s="12" t="n">
        <v>-45000</v>
      </c>
      <c r="C39" s="6" t="inlineStr">
        <is>
          <t>Revenue</t>
        </is>
      </c>
      <c r="D39" s="6" t="inlineStr">
        <is>
          <t>Other Income</t>
        </is>
      </c>
      <c r="E39" s="6" t="inlineStr">
        <is>
          <t>NOT_APPLICABLE</t>
        </is>
      </c>
      <c r="F39" s="6" t="inlineStr">
        <is>
          <t>CREDIT</t>
        </is>
      </c>
      <c r="G39" s="6" t="inlineStr">
        <is>
          <t>Note 20 - Other Income</t>
        </is>
      </c>
      <c r="H39" s="6" t="inlineStr">
        <is>
          <t>RULE_ENGINE</t>
        </is>
      </c>
      <c r="I39" s="6" t="n">
        <v>0.65</v>
      </c>
    </row>
    <row r="40">
      <c r="A40" s="6" t="inlineStr">
        <is>
          <t>Purchase of Raw Material</t>
        </is>
      </c>
      <c r="B40" s="12" t="n">
        <v>6800000</v>
      </c>
      <c r="C40" s="6" t="inlineStr">
        <is>
          <t>Expenses</t>
        </is>
      </c>
      <c r="D40" s="6" t="inlineStr">
        <is>
          <t>Cost of Materials Consumed</t>
        </is>
      </c>
      <c r="E40" s="6" t="inlineStr">
        <is>
          <t>NOT_APPLICABLE</t>
        </is>
      </c>
      <c r="F40" s="6" t="inlineStr">
        <is>
          <t>DEBIT</t>
        </is>
      </c>
      <c r="G40" s="6" t="inlineStr">
        <is>
          <t>Note 21 - Cost of Materials Consumed</t>
        </is>
      </c>
      <c r="H40" s="6" t="inlineStr">
        <is>
          <t>RULE_ENGINE</t>
        </is>
      </c>
      <c r="I40" s="6" t="n">
        <v>0.75</v>
      </c>
    </row>
    <row r="41">
      <c r="A41" s="6" t="inlineStr">
        <is>
          <t>Factory Electricity</t>
        </is>
      </c>
      <c r="B41" s="12" t="n">
        <v>420000</v>
      </c>
      <c r="C41" s="6" t="inlineStr">
        <is>
          <t>Expenses</t>
        </is>
      </c>
      <c r="D41" s="6" t="inlineStr">
        <is>
          <t>Other Expenses</t>
        </is>
      </c>
      <c r="E41" s="6" t="inlineStr">
        <is>
          <t>NOT_APPLICABLE</t>
        </is>
      </c>
      <c r="F41" s="6" t="inlineStr">
        <is>
          <t>DEBIT</t>
        </is>
      </c>
      <c r="G41" s="6" t="inlineStr">
        <is>
          <t>Note 27 - Other Expenses</t>
        </is>
      </c>
      <c r="H41" s="6" t="inlineStr">
        <is>
          <t>RULE_ENGINE</t>
        </is>
      </c>
      <c r="I41" s="6" t="n">
        <v>0.65</v>
      </c>
    </row>
    <row r="42">
      <c r="A42" s="6" t="inlineStr">
        <is>
          <t>Factory Rent</t>
        </is>
      </c>
      <c r="B42" s="12" t="n">
        <v>360000</v>
      </c>
      <c r="C42" s="6" t="inlineStr">
        <is>
          <t>Expenses</t>
        </is>
      </c>
      <c r="D42" s="6" t="inlineStr">
        <is>
          <t>Other Expenses</t>
        </is>
      </c>
      <c r="E42" s="6" t="inlineStr">
        <is>
          <t>NOT_APPLICABLE</t>
        </is>
      </c>
      <c r="F42" s="6" t="inlineStr">
        <is>
          <t>DEBIT</t>
        </is>
      </c>
      <c r="G42" s="6" t="inlineStr">
        <is>
          <t>Note 27 - Other Expenses</t>
        </is>
      </c>
      <c r="H42" s="6" t="inlineStr">
        <is>
          <t>RULE_ENGINE</t>
        </is>
      </c>
      <c r="I42" s="6" t="n">
        <v>0.65</v>
      </c>
    </row>
    <row r="43">
      <c r="A43" s="6" t="inlineStr">
        <is>
          <t>Staff Salary</t>
        </is>
      </c>
      <c r="B43" s="12" t="n">
        <v>1850000</v>
      </c>
      <c r="C43" s="6" t="inlineStr">
        <is>
          <t>Expenses</t>
        </is>
      </c>
      <c r="D43" s="6" t="inlineStr">
        <is>
          <t>Employee Benefit Expense</t>
        </is>
      </c>
      <c r="E43" s="6" t="inlineStr">
        <is>
          <t>NOT_APPLICABLE</t>
        </is>
      </c>
      <c r="F43" s="6" t="inlineStr">
        <is>
          <t>DEBIT</t>
        </is>
      </c>
      <c r="G43" s="6" t="inlineStr">
        <is>
          <t>Note 24 - Employee Benefit Expense</t>
        </is>
      </c>
      <c r="H43" s="6" t="inlineStr">
        <is>
          <t>RULE_ENGINE</t>
        </is>
      </c>
      <c r="I43" s="6" t="n">
        <v>0.6000000000000001</v>
      </c>
    </row>
    <row r="44">
      <c r="A44" s="6" t="inlineStr">
        <is>
          <t>Director Remuneration</t>
        </is>
      </c>
      <c r="B44" s="12" t="n">
        <v>1200000</v>
      </c>
      <c r="C44" s="6" t="inlineStr">
        <is>
          <t>Expenses</t>
        </is>
      </c>
      <c r="D44" s="6" t="inlineStr">
        <is>
          <t>Employee Benefit Expense</t>
        </is>
      </c>
      <c r="E44" s="6" t="inlineStr">
        <is>
          <t>NOT_APPLICABLE</t>
        </is>
      </c>
      <c r="F44" s="6" t="inlineStr">
        <is>
          <t>DEBIT</t>
        </is>
      </c>
      <c r="G44" s="6" t="inlineStr">
        <is>
          <t>Note 24 - Employee Benefit Expense</t>
        </is>
      </c>
      <c r="H44" s="6" t="inlineStr">
        <is>
          <t>RULE_ENGINE</t>
        </is>
      </c>
      <c r="I44" s="6" t="n">
        <v>0.65</v>
      </c>
    </row>
    <row r="45">
      <c r="A45" s="6" t="inlineStr">
        <is>
          <t>Contribution to PF</t>
        </is>
      </c>
      <c r="B45" s="12" t="n">
        <v>165000</v>
      </c>
      <c r="C45" s="6" t="inlineStr">
        <is>
          <t>Expenses</t>
        </is>
      </c>
      <c r="D45" s="6" t="inlineStr">
        <is>
          <t>Employee Benefit Expense</t>
        </is>
      </c>
      <c r="E45" s="6" t="inlineStr">
        <is>
          <t>NOT_APPLICABLE</t>
        </is>
      </c>
      <c r="F45" s="6" t="inlineStr">
        <is>
          <t>DEBIT</t>
        </is>
      </c>
      <c r="G45" s="6" t="inlineStr">
        <is>
          <t>Note 24 - Employee Benefit Expense</t>
        </is>
      </c>
      <c r="H45" s="6" t="inlineStr">
        <is>
          <t>RULE_ENGINE</t>
        </is>
      </c>
      <c r="I45" s="6" t="n">
        <v>0.7000000000000001</v>
      </c>
    </row>
    <row r="46">
      <c r="A46" s="6" t="inlineStr">
        <is>
          <t>Staff Welfare Expense</t>
        </is>
      </c>
      <c r="B46" s="12" t="n">
        <v>85000</v>
      </c>
      <c r="C46" s="6" t="inlineStr">
        <is>
          <t>Expenses</t>
        </is>
      </c>
      <c r="D46" s="6" t="inlineStr">
        <is>
          <t>Employee Benefit Expense</t>
        </is>
      </c>
      <c r="E46" s="6" t="inlineStr">
        <is>
          <t>NOT_APPLICABLE</t>
        </is>
      </c>
      <c r="F46" s="6" t="inlineStr">
        <is>
          <t>DEBIT</t>
        </is>
      </c>
      <c r="G46" s="6" t="inlineStr">
        <is>
          <t>Note 24 - Employee Benefit Expense</t>
        </is>
      </c>
      <c r="H46" s="6" t="inlineStr">
        <is>
          <t>RULE_ENGINE</t>
        </is>
      </c>
      <c r="I46" s="6" t="n">
        <v>0.65</v>
      </c>
    </row>
    <row r="47">
      <c r="A47" s="6" t="inlineStr">
        <is>
          <t>Interest on Term Loan</t>
        </is>
      </c>
      <c r="B47" s="12" t="n">
        <v>285000</v>
      </c>
      <c r="C47" s="6" t="inlineStr">
        <is>
          <t>Expenses</t>
        </is>
      </c>
      <c r="D47" s="6" t="inlineStr">
        <is>
          <t>Finance Costs</t>
        </is>
      </c>
      <c r="E47" s="6" t="inlineStr">
        <is>
          <t>NOT_APPLICABLE</t>
        </is>
      </c>
      <c r="F47" s="6" t="inlineStr">
        <is>
          <t>DEBIT</t>
        </is>
      </c>
      <c r="G47" s="6" t="inlineStr">
        <is>
          <t>Note 25 - Finance Costs</t>
        </is>
      </c>
      <c r="H47" s="6" t="inlineStr">
        <is>
          <t>RULE_ENGINE</t>
        </is>
      </c>
      <c r="I47" s="6" t="n">
        <v>0.75</v>
      </c>
    </row>
    <row r="48">
      <c r="A48" s="6" t="inlineStr">
        <is>
          <t>Bank Charges</t>
        </is>
      </c>
      <c r="B48" s="12" t="n">
        <v>32000</v>
      </c>
      <c r="C48" s="6" t="inlineStr">
        <is>
          <t>Expenses</t>
        </is>
      </c>
      <c r="D48" s="6" t="inlineStr">
        <is>
          <t>Finance Costs</t>
        </is>
      </c>
      <c r="E48" s="6" t="inlineStr">
        <is>
          <t>NOT_APPLICABLE</t>
        </is>
      </c>
      <c r="F48" s="6" t="inlineStr">
        <is>
          <t>DEBIT</t>
        </is>
      </c>
      <c r="G48" s="6" t="inlineStr">
        <is>
          <t>Note 25 - Finance Costs</t>
        </is>
      </c>
      <c r="H48" s="6" t="inlineStr">
        <is>
          <t>RULE_ENGINE</t>
        </is>
      </c>
      <c r="I48" s="6" t="n">
        <v>0.65</v>
      </c>
    </row>
    <row r="49">
      <c r="A49" s="6" t="inlineStr">
        <is>
          <t>Depreciation Expense</t>
        </is>
      </c>
      <c r="B49" s="12" t="n">
        <v>480000</v>
      </c>
      <c r="C49" s="6" t="inlineStr">
        <is>
          <t>Expenses</t>
        </is>
      </c>
      <c r="D49" s="6" t="inlineStr">
        <is>
          <t>Depreciation and Amortization Expense</t>
        </is>
      </c>
      <c r="E49" s="6" t="inlineStr">
        <is>
          <t>NOT_APPLICABLE</t>
        </is>
      </c>
      <c r="F49" s="6" t="inlineStr">
        <is>
          <t>DEBIT</t>
        </is>
      </c>
      <c r="G49" s="6" t="inlineStr">
        <is>
          <t>Note 26 - Depreciation and Amortization</t>
        </is>
      </c>
      <c r="H49" s="6" t="inlineStr">
        <is>
          <t>RULE_ENGINE</t>
        </is>
      </c>
      <c r="I49" s="6" t="n">
        <v>0.65</v>
      </c>
    </row>
    <row r="50">
      <c r="A50" s="6" t="inlineStr">
        <is>
          <t>Rent Expense - Office</t>
        </is>
      </c>
      <c r="B50" s="12" t="n">
        <v>240000</v>
      </c>
      <c r="C50" s="6" t="inlineStr">
        <is>
          <t>Expenses</t>
        </is>
      </c>
      <c r="D50" s="6" t="inlineStr">
        <is>
          <t>Other Expenses</t>
        </is>
      </c>
      <c r="E50" s="6" t="inlineStr">
        <is>
          <t>NOT_APPLICABLE</t>
        </is>
      </c>
      <c r="F50" s="6" t="inlineStr">
        <is>
          <t>DEBIT</t>
        </is>
      </c>
      <c r="G50" s="6" t="inlineStr">
        <is>
          <t>Note 27 - Other Expenses</t>
        </is>
      </c>
      <c r="H50" s="6" t="inlineStr">
        <is>
          <t>RULE_ENGINE</t>
        </is>
      </c>
      <c r="I50" s="6" t="n">
        <v>0.65</v>
      </c>
    </row>
    <row r="51">
      <c r="A51" s="6" t="inlineStr">
        <is>
          <t>Electricity Expense - Office</t>
        </is>
      </c>
      <c r="B51" s="12" t="n">
        <v>65000</v>
      </c>
      <c r="C51" s="6" t="inlineStr">
        <is>
          <t>Expenses</t>
        </is>
      </c>
      <c r="D51" s="6" t="inlineStr">
        <is>
          <t>Other Expenses</t>
        </is>
      </c>
      <c r="E51" s="6" t="inlineStr">
        <is>
          <t>NOT_APPLICABLE</t>
        </is>
      </c>
      <c r="F51" s="6" t="inlineStr">
        <is>
          <t>DEBIT</t>
        </is>
      </c>
      <c r="G51" s="6" t="inlineStr">
        <is>
          <t>Note 27 - Other Expenses</t>
        </is>
      </c>
      <c r="H51" s="6" t="inlineStr">
        <is>
          <t>RULE_ENGINE</t>
        </is>
      </c>
      <c r="I51" s="6" t="n">
        <v>0.65</v>
      </c>
    </row>
    <row r="52">
      <c r="A52" s="6" t="inlineStr">
        <is>
          <t>Telephone and Internet Expense</t>
        </is>
      </c>
      <c r="B52" s="12" t="n">
        <v>42000</v>
      </c>
      <c r="C52" s="6" t="inlineStr">
        <is>
          <t>Expenses</t>
        </is>
      </c>
      <c r="D52" s="6" t="inlineStr">
        <is>
          <t>Other Expenses</t>
        </is>
      </c>
      <c r="E52" s="6" t="inlineStr">
        <is>
          <t>NOT_APPLICABLE</t>
        </is>
      </c>
      <c r="F52" s="6" t="inlineStr">
        <is>
          <t>DEBIT</t>
        </is>
      </c>
      <c r="G52" s="6" t="inlineStr">
        <is>
          <t>Note 27 - Other Expenses</t>
        </is>
      </c>
      <c r="H52" s="6" t="inlineStr">
        <is>
          <t>RULE_ENGINE</t>
        </is>
      </c>
      <c r="I52" s="6" t="n">
        <v>0.65</v>
      </c>
    </row>
    <row r="53">
      <c r="A53" s="6" t="inlineStr">
        <is>
          <t>Printing and Stationery</t>
        </is>
      </c>
      <c r="B53" s="12" t="n">
        <v>28000</v>
      </c>
      <c r="C53" s="6" t="inlineStr">
        <is>
          <t>Expenses</t>
        </is>
      </c>
      <c r="D53" s="6" t="inlineStr">
        <is>
          <t>Other Expenses</t>
        </is>
      </c>
      <c r="E53" s="6" t="inlineStr">
        <is>
          <t>NOT_APPLICABLE</t>
        </is>
      </c>
      <c r="F53" s="6" t="inlineStr">
        <is>
          <t>DEBIT</t>
        </is>
      </c>
      <c r="G53" s="6" t="inlineStr">
        <is>
          <t>Note 27 - Other Expenses</t>
        </is>
      </c>
      <c r="H53" s="6" t="inlineStr">
        <is>
          <t>RULE_ENGINE</t>
        </is>
      </c>
      <c r="I53" s="6" t="n">
        <v>0.6000000000000001</v>
      </c>
    </row>
    <row r="54">
      <c r="A54" s="6" t="inlineStr">
        <is>
          <t>Travelling and Conveyance</t>
        </is>
      </c>
      <c r="B54" s="12" t="n">
        <v>165000</v>
      </c>
      <c r="C54" s="6" t="inlineStr">
        <is>
          <t>Expenses</t>
        </is>
      </c>
      <c r="D54" s="6" t="inlineStr">
        <is>
          <t>Other Expenses</t>
        </is>
      </c>
      <c r="E54" s="6" t="inlineStr">
        <is>
          <t>NOT_APPLICABLE</t>
        </is>
      </c>
      <c r="F54" s="6" t="inlineStr">
        <is>
          <t>DEBIT</t>
        </is>
      </c>
      <c r="G54" s="6" t="inlineStr">
        <is>
          <t>Note 27 - Other Expenses</t>
        </is>
      </c>
      <c r="H54" s="6" t="inlineStr">
        <is>
          <t>RULE_ENGINE</t>
        </is>
      </c>
      <c r="I54" s="6" t="n">
        <v>0.6000000000000001</v>
      </c>
    </row>
    <row r="55">
      <c r="A55" s="6" t="inlineStr">
        <is>
          <t>Legal and Professional Charges</t>
        </is>
      </c>
      <c r="B55" s="12" t="n">
        <v>220000</v>
      </c>
      <c r="C55" s="6" t="inlineStr">
        <is>
          <t>Expenses</t>
        </is>
      </c>
      <c r="D55" s="6" t="inlineStr">
        <is>
          <t>Other Expenses</t>
        </is>
      </c>
      <c r="E55" s="6" t="inlineStr">
        <is>
          <t>NOT_APPLICABLE</t>
        </is>
      </c>
      <c r="F55" s="6" t="inlineStr">
        <is>
          <t>DEBIT</t>
        </is>
      </c>
      <c r="G55" s="6" t="inlineStr">
        <is>
          <t>Note 27 - Other Expenses</t>
        </is>
      </c>
      <c r="H55" s="6" t="inlineStr">
        <is>
          <t>RULE_ENGINE</t>
        </is>
      </c>
      <c r="I55" s="6" t="n">
        <v>0.7000000000000001</v>
      </c>
    </row>
    <row r="56">
      <c r="A56" s="6" t="inlineStr">
        <is>
          <t>Audit Fee</t>
        </is>
      </c>
      <c r="B56" s="12" t="n">
        <v>75000</v>
      </c>
      <c r="C56" s="6" t="inlineStr">
        <is>
          <t>Expenses</t>
        </is>
      </c>
      <c r="D56" s="6" t="inlineStr">
        <is>
          <t>Other Expenses</t>
        </is>
      </c>
      <c r="E56" s="6" t="inlineStr">
        <is>
          <t>NOT_APPLICABLE</t>
        </is>
      </c>
      <c r="F56" s="6" t="inlineStr">
        <is>
          <t>DEBIT</t>
        </is>
      </c>
      <c r="G56" s="6" t="inlineStr">
        <is>
          <t>Note 27 - Other Expenses</t>
        </is>
      </c>
      <c r="H56" s="6" t="inlineStr">
        <is>
          <t>RULE_ENGINE</t>
        </is>
      </c>
      <c r="I56" s="6" t="n">
        <v>0.65</v>
      </c>
    </row>
    <row r="57">
      <c r="A57" s="6" t="inlineStr">
        <is>
          <t>Insurance Expense</t>
        </is>
      </c>
      <c r="B57" s="12" t="n">
        <v>58000</v>
      </c>
      <c r="C57" s="6" t="inlineStr">
        <is>
          <t>Expenses</t>
        </is>
      </c>
      <c r="D57" s="6" t="inlineStr">
        <is>
          <t>Other Expenses</t>
        </is>
      </c>
      <c r="E57" s="6" t="inlineStr">
        <is>
          <t>NOT_APPLICABLE</t>
        </is>
      </c>
      <c r="F57" s="6" t="inlineStr">
        <is>
          <t>DEBIT</t>
        </is>
      </c>
      <c r="G57" s="6" t="inlineStr">
        <is>
          <t>Note 27 - Other Expenses</t>
        </is>
      </c>
      <c r="H57" s="6" t="inlineStr">
        <is>
          <t>RULE_ENGINE</t>
        </is>
      </c>
      <c r="I57" s="6" t="n">
        <v>0.65</v>
      </c>
    </row>
    <row r="58">
      <c r="A58" s="6" t="inlineStr">
        <is>
          <t>Repair and Maintenance</t>
        </is>
      </c>
      <c r="B58" s="12" t="n">
        <v>95000</v>
      </c>
      <c r="C58" s="6" t="inlineStr">
        <is>
          <t>Expenses</t>
        </is>
      </c>
      <c r="D58" s="6" t="inlineStr">
        <is>
          <t>Other Expenses</t>
        </is>
      </c>
      <c r="E58" s="6" t="inlineStr">
        <is>
          <t>NOT_APPLICABLE</t>
        </is>
      </c>
      <c r="F58" s="6" t="inlineStr">
        <is>
          <t>DEBIT</t>
        </is>
      </c>
      <c r="G58" s="6" t="inlineStr">
        <is>
          <t>Note 27 - Other Expenses</t>
        </is>
      </c>
      <c r="H58" s="6" t="inlineStr">
        <is>
          <t>RULE_ENGINE</t>
        </is>
      </c>
      <c r="I58" s="6" t="n">
        <v>0.7000000000000001</v>
      </c>
    </row>
    <row r="59">
      <c r="A59" s="6" t="inlineStr">
        <is>
          <t>Advertisement Expense</t>
        </is>
      </c>
      <c r="B59" s="12" t="n">
        <v>145000</v>
      </c>
      <c r="C59" s="6" t="inlineStr">
        <is>
          <t>Expenses</t>
        </is>
      </c>
      <c r="D59" s="6" t="inlineStr">
        <is>
          <t>Other Expenses</t>
        </is>
      </c>
      <c r="E59" s="6" t="inlineStr">
        <is>
          <t>NOT_APPLICABLE</t>
        </is>
      </c>
      <c r="F59" s="6" t="inlineStr">
        <is>
          <t>DEBIT</t>
        </is>
      </c>
      <c r="G59" s="6" t="inlineStr">
        <is>
          <t>Note 27 - Other Expenses</t>
        </is>
      </c>
      <c r="H59" s="6" t="inlineStr">
        <is>
          <t>RULE_ENGINE</t>
        </is>
      </c>
      <c r="I59" s="6" t="n">
        <v>0.6000000000000001</v>
      </c>
    </row>
    <row r="60">
      <c r="A60" s="6" t="inlineStr">
        <is>
          <t>Freight Outward</t>
        </is>
      </c>
      <c r="B60" s="12" t="n">
        <v>210000</v>
      </c>
      <c r="C60" s="6" t="inlineStr">
        <is>
          <t>Expenses</t>
        </is>
      </c>
      <c r="D60" s="6" t="inlineStr">
        <is>
          <t>Other Expenses</t>
        </is>
      </c>
      <c r="E60" s="6" t="inlineStr">
        <is>
          <t>NOT_APPLICABLE</t>
        </is>
      </c>
      <c r="F60" s="6" t="inlineStr">
        <is>
          <t>DEBIT</t>
        </is>
      </c>
      <c r="G60" s="6" t="inlineStr">
        <is>
          <t>Note 27 - Other Expenses</t>
        </is>
      </c>
      <c r="H60" s="6" t="inlineStr">
        <is>
          <t>RULE_ENGINE</t>
        </is>
      </c>
      <c r="I60" s="6" t="n">
        <v>0.65</v>
      </c>
    </row>
    <row r="61">
      <c r="A61" s="6" t="inlineStr">
        <is>
          <t>Miscellaneous Expense</t>
        </is>
      </c>
      <c r="B61" s="12" t="n">
        <v>6747000</v>
      </c>
      <c r="C61" s="6" t="inlineStr">
        <is>
          <t>Expenses</t>
        </is>
      </c>
      <c r="D61" s="6" t="inlineStr">
        <is>
          <t>Other Expenses</t>
        </is>
      </c>
      <c r="E61" s="6" t="inlineStr">
        <is>
          <t>NOT_APPLICABLE</t>
        </is>
      </c>
      <c r="F61" s="6" t="inlineStr">
        <is>
          <t>DEBIT</t>
        </is>
      </c>
      <c r="G61" s="6" t="inlineStr">
        <is>
          <t>Note 27 - Other Expenses</t>
        </is>
      </c>
      <c r="H61" s="6" t="inlineStr">
        <is>
          <t>RULE_ENGINE</t>
        </is>
      </c>
      <c r="I61" s="6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Bharat Precision Components Private Limited</t>
        </is>
      </c>
    </row>
    <row r="2">
      <c r="A2" s="2" t="inlineStr">
        <is>
          <t>Balance Sheet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C6" s="13" t="inlineStr">
        <is>
          <t>Current Year</t>
        </is>
      </c>
      <c r="D6" s="13" t="inlineStr">
        <is>
          <t>Previous Year</t>
        </is>
      </c>
      <c r="E6" s="13" t="inlineStr">
        <is>
          <t>Note</t>
        </is>
      </c>
    </row>
    <row r="7">
      <c r="A7" s="14" t="inlineStr">
        <is>
          <t>EQUITY AND LIABILITIES</t>
        </is>
      </c>
    </row>
    <row r="8">
      <c r="A8" s="15" t="inlineStr">
        <is>
          <t>Shareholders' Funds</t>
        </is>
      </c>
      <c r="C8" s="16" t="n">
        <v>1728000</v>
      </c>
      <c r="D8" s="16" t="n">
        <v>-31090000</v>
      </c>
    </row>
    <row r="9">
      <c r="B9" s="17" t="inlineStr">
        <is>
          <t>Share Capital</t>
        </is>
      </c>
      <c r="C9" s="18" t="n">
        <v>5000000</v>
      </c>
      <c r="D9" s="18" t="n">
        <v>-5000000</v>
      </c>
      <c r="E9" s="4" t="inlineStr">
        <is>
          <t>Note 1 - Share Capital</t>
        </is>
      </c>
    </row>
    <row r="10">
      <c r="B10" s="17" t="inlineStr">
        <is>
          <t>Reserves and Surplus</t>
        </is>
      </c>
      <c r="C10" s="18" t="n">
        <v>-3272000</v>
      </c>
      <c r="D10" s="18" t="n">
        <v>-26090000</v>
      </c>
      <c r="E10" s="4" t="inlineStr">
        <is>
          <t>Note 2 - Reserves and Surplus</t>
        </is>
      </c>
    </row>
    <row r="11">
      <c r="A11" s="15" t="inlineStr">
        <is>
          <t>Non-Current Liabilities</t>
        </is>
      </c>
      <c r="C11" s="16" t="n">
        <v>2880000</v>
      </c>
      <c r="D11" s="16" t="n">
        <v>-3250000</v>
      </c>
    </row>
    <row r="12">
      <c r="B12" s="17" t="inlineStr">
        <is>
          <t>Long-Term Borrowings</t>
        </is>
      </c>
      <c r="C12" s="18" t="n">
        <v>2700000</v>
      </c>
      <c r="D12" s="18" t="n">
        <v>-3100000</v>
      </c>
      <c r="E12" s="4" t="inlineStr">
        <is>
          <t>Note 3 - Long-Term Borrowings</t>
        </is>
      </c>
    </row>
    <row r="13">
      <c r="B13" s="17" t="inlineStr">
        <is>
          <t>Long-Term Provisions</t>
        </is>
      </c>
      <c r="C13" s="18" t="n">
        <v>180000</v>
      </c>
      <c r="D13" s="18" t="n">
        <v>-150000</v>
      </c>
      <c r="E13" s="4" t="inlineStr">
        <is>
          <t>Note 4 - Long-Term Provisions</t>
        </is>
      </c>
    </row>
    <row r="14">
      <c r="A14" s="15" t="inlineStr">
        <is>
          <t>Current Liabilities</t>
        </is>
      </c>
      <c r="C14" s="16" t="n">
        <v>3310000</v>
      </c>
      <c r="D14" s="16" t="n">
        <v>-2798000</v>
      </c>
    </row>
    <row r="15">
      <c r="B15" s="17" t="inlineStr">
        <is>
          <t>Short-Term Borrowings</t>
        </is>
      </c>
      <c r="C15" s="18" t="n">
        <v>780000</v>
      </c>
      <c r="D15" s="18" t="n">
        <v>-620000</v>
      </c>
      <c r="E15" s="4" t="inlineStr">
        <is>
          <t>Note 9 - Short-Term Borrowings</t>
        </is>
      </c>
    </row>
    <row r="16">
      <c r="B16" s="17" t="inlineStr">
        <is>
          <t>Trade Payables</t>
        </is>
      </c>
      <c r="C16" s="18" t="n">
        <v>1650000</v>
      </c>
      <c r="D16" s="18" t="n">
        <v>-1420000</v>
      </c>
      <c r="E16" s="4" t="inlineStr">
        <is>
          <t>Note 10 - Trade Payables</t>
        </is>
      </c>
    </row>
    <row r="17">
      <c r="B17" s="17" t="inlineStr">
        <is>
          <t>Other Current Liabilities</t>
        </is>
      </c>
      <c r="C17" s="18" t="n">
        <v>465000</v>
      </c>
      <c r="D17" s="18" t="n">
        <v>-398000</v>
      </c>
      <c r="E17" s="4" t="inlineStr">
        <is>
          <t>Note 11 - Other Current Liabilities</t>
        </is>
      </c>
    </row>
    <row r="18">
      <c r="B18" s="17" t="inlineStr">
        <is>
          <t>Short-Term Provisions</t>
        </is>
      </c>
      <c r="C18" s="18" t="n">
        <v>415000</v>
      </c>
      <c r="D18" s="18" t="n">
        <v>-360000</v>
      </c>
      <c r="E18" s="4" t="inlineStr">
        <is>
          <t>Note 13 - Short-Term Provisions</t>
        </is>
      </c>
    </row>
    <row r="19">
      <c r="A19" s="9" t="inlineStr">
        <is>
          <t>TOTAL EQUITY AND LIABILITIES</t>
        </is>
      </c>
      <c r="C19" s="10" t="n">
        <v>7918000</v>
      </c>
      <c r="D19" s="10" t="n">
        <v>-37138000</v>
      </c>
    </row>
    <row r="22">
      <c r="A22" s="14" t="inlineStr">
        <is>
          <t>ASSETS</t>
        </is>
      </c>
    </row>
    <row r="23">
      <c r="A23" s="15" t="inlineStr">
        <is>
          <t>Non-Current Assets</t>
        </is>
      </c>
      <c r="C23" s="16" t="n">
        <v>3850000</v>
      </c>
      <c r="D23" s="16" t="n">
        <v>4970000</v>
      </c>
    </row>
    <row r="24">
      <c r="B24" s="17" t="inlineStr">
        <is>
          <t>Property, Plant and Equipment</t>
        </is>
      </c>
      <c r="C24" s="18" t="n">
        <v>3110000</v>
      </c>
      <c r="D24" s="18" t="n">
        <v>4380000</v>
      </c>
      <c r="E24" s="4" t="inlineStr">
        <is>
          <t>Note 5 - Property, Plant and Equipment</t>
        </is>
      </c>
    </row>
    <row r="25">
      <c r="B25" s="17" t="inlineStr">
        <is>
          <t>Capital Work-in-Progress</t>
        </is>
      </c>
      <c r="C25" s="18" t="n">
        <v>150000</v>
      </c>
      <c r="D25" s="18" t="n">
        <v>0</v>
      </c>
      <c r="E25" s="4" t="inlineStr">
        <is>
          <t>Note 6 - Capital Work-in-Progress</t>
        </is>
      </c>
    </row>
    <row r="26">
      <c r="B26" s="17" t="inlineStr">
        <is>
          <t>Intangible Assets</t>
        </is>
      </c>
      <c r="C26" s="18" t="n">
        <v>90000</v>
      </c>
      <c r="D26" s="18" t="n">
        <v>90000</v>
      </c>
      <c r="E26" s="4" t="inlineStr">
        <is>
          <t>Note 7 - Intangible Assets</t>
        </is>
      </c>
    </row>
    <row r="27">
      <c r="B27" s="17" t="inlineStr">
        <is>
          <t>Non-Current Investments</t>
        </is>
      </c>
      <c r="C27" s="18" t="n">
        <v>500000</v>
      </c>
      <c r="D27" s="18" t="n">
        <v>500000</v>
      </c>
      <c r="E27" s="4" t="inlineStr">
        <is>
          <t>Note 8 - Non-Current Investments</t>
        </is>
      </c>
    </row>
    <row r="28">
      <c r="A28" s="15" t="inlineStr">
        <is>
          <t>Current Assets</t>
        </is>
      </c>
      <c r="C28" s="16" t="n">
        <v>4068000</v>
      </c>
      <c r="D28" s="16" t="n">
        <v>3366000</v>
      </c>
    </row>
    <row r="29">
      <c r="B29" s="17" t="inlineStr">
        <is>
          <t>Inventories</t>
        </is>
      </c>
      <c r="C29" s="18" t="n">
        <v>1400000</v>
      </c>
      <c r="D29" s="18" t="n">
        <v>1130000</v>
      </c>
      <c r="E29" s="4" t="inlineStr">
        <is>
          <t>Note 14 - Inventories</t>
        </is>
      </c>
    </row>
    <row r="30">
      <c r="B30" s="17" t="inlineStr">
        <is>
          <t>Trade Receivables</t>
        </is>
      </c>
      <c r="C30" s="18" t="n">
        <v>1450000</v>
      </c>
      <c r="D30" s="18" t="n">
        <v>1180000</v>
      </c>
      <c r="E30" s="4" t="inlineStr">
        <is>
          <t>Note 15 - Trade Receivables</t>
        </is>
      </c>
    </row>
    <row r="31">
      <c r="B31" s="17" t="inlineStr">
        <is>
          <t>Cash and Cash Equivalents</t>
        </is>
      </c>
      <c r="C31" s="18" t="n">
        <v>665000</v>
      </c>
      <c r="D31" s="18" t="n">
        <v>578000</v>
      </c>
      <c r="E31" s="4" t="inlineStr">
        <is>
          <t>Note 16 - Cash and Cash Equivalents</t>
        </is>
      </c>
    </row>
    <row r="32">
      <c r="B32" s="17" t="inlineStr">
        <is>
          <t>Short-Term Loans and Advances</t>
        </is>
      </c>
      <c r="C32" s="18" t="n">
        <v>100000</v>
      </c>
      <c r="D32" s="18" t="n">
        <v>100000</v>
      </c>
      <c r="E32" s="4" t="inlineStr">
        <is>
          <t>Note 18 - Short-Term Loans and Advances</t>
        </is>
      </c>
    </row>
    <row r="33">
      <c r="B33" s="17" t="inlineStr">
        <is>
          <t>Other Current Assets</t>
        </is>
      </c>
      <c r="C33" s="18" t="n">
        <v>453000</v>
      </c>
      <c r="D33" s="18" t="n">
        <v>378000</v>
      </c>
      <c r="E33" s="4" t="inlineStr">
        <is>
          <t>Note 17 - Other Current Assets</t>
        </is>
      </c>
    </row>
    <row r="34">
      <c r="A34" s="9" t="inlineStr">
        <is>
          <t>TOTAL ASSETS</t>
        </is>
      </c>
      <c r="C34" s="10" t="n">
        <v>7918000</v>
      </c>
      <c r="D34" s="10" t="n">
        <v>8336000</v>
      </c>
    </row>
    <row r="36">
      <c r="A36" s="19" t="inlineStr">
        <is>
          <t>Balance Sheet Tallies ✓</t>
        </is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Bharat Precision Components Private Limited</t>
        </is>
      </c>
    </row>
    <row r="2">
      <c r="A2" s="2" t="inlineStr">
        <is>
          <t>Statement of Profit and Loss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C6" s="13" t="inlineStr">
        <is>
          <t>Current Year</t>
        </is>
      </c>
      <c r="D6" s="13" t="inlineStr">
        <is>
          <t>Previous Year</t>
        </is>
      </c>
      <c r="E6" s="13" t="inlineStr">
        <is>
          <t>Note</t>
        </is>
      </c>
    </row>
    <row r="7">
      <c r="A7" s="14" t="inlineStr">
        <is>
          <t>Revenue</t>
        </is>
      </c>
    </row>
    <row r="8">
      <c r="A8" s="15" t="inlineStr">
        <is>
          <t>Revenue from Operations</t>
        </is>
      </c>
      <c r="C8" s="16" t="n">
        <v>14300000</v>
      </c>
      <c r="D8" s="16" t="n">
        <v>-12300000</v>
      </c>
    </row>
    <row r="9">
      <c r="A9" s="15" t="inlineStr">
        <is>
          <t>Other Income</t>
        </is>
      </c>
      <c r="C9" s="16" t="n">
        <v>45000</v>
      </c>
      <c r="D9" s="16" t="n">
        <v>-38000</v>
      </c>
    </row>
    <row r="10">
      <c r="A10" s="9" t="inlineStr">
        <is>
          <t>Total Revenue</t>
        </is>
      </c>
      <c r="C10" s="20" t="n">
        <v>14345000</v>
      </c>
      <c r="D10" s="20" t="n">
        <v>-12338000</v>
      </c>
    </row>
    <row r="12">
      <c r="A12" s="14" t="inlineStr">
        <is>
          <t>Expenses</t>
        </is>
      </c>
    </row>
    <row r="13">
      <c r="A13" s="15" t="inlineStr">
        <is>
          <t>Cost of Materials Consumed</t>
        </is>
      </c>
      <c r="C13" s="16" t="n">
        <v>6800000</v>
      </c>
      <c r="D13" s="16" t="n">
        <v>5900000</v>
      </c>
    </row>
    <row r="14">
      <c r="A14" s="15" t="inlineStr">
        <is>
          <t>Employee Benefit Expense</t>
        </is>
      </c>
      <c r="C14" s="16" t="n">
        <v>3300000</v>
      </c>
      <c r="D14" s="16" t="n">
        <v>2970000</v>
      </c>
    </row>
    <row r="15">
      <c r="A15" s="15" t="inlineStr">
        <is>
          <t>Finance Costs</t>
        </is>
      </c>
      <c r="C15" s="16" t="n">
        <v>317000</v>
      </c>
      <c r="D15" s="16" t="n">
        <v>348000</v>
      </c>
    </row>
    <row r="16">
      <c r="A16" s="15" t="inlineStr">
        <is>
          <t>Depreciation and Amortization Expense</t>
        </is>
      </c>
      <c r="C16" s="16" t="n">
        <v>480000</v>
      </c>
      <c r="D16" s="16" t="n">
        <v>420000</v>
      </c>
    </row>
    <row r="17">
      <c r="A17" s="15" t="inlineStr">
        <is>
          <t>Other Expenses</t>
        </is>
      </c>
      <c r="C17" s="16" t="n">
        <v>8870000</v>
      </c>
      <c r="D17" s="16" t="n">
        <v>1964000</v>
      </c>
    </row>
    <row r="18">
      <c r="A18" s="9" t="inlineStr">
        <is>
          <t>Total Expenses</t>
        </is>
      </c>
      <c r="C18" s="20" t="n">
        <v>19767000</v>
      </c>
      <c r="D18" s="20" t="n">
        <v>11602000</v>
      </c>
    </row>
    <row r="20">
      <c r="A20" s="21" t="inlineStr">
        <is>
          <t>Profit Before Tax</t>
        </is>
      </c>
      <c r="C20" s="18" t="n">
        <v>-5422000</v>
      </c>
      <c r="D20" s="18" t="n">
        <v>-23940000</v>
      </c>
    </row>
    <row r="21">
      <c r="A21" s="21" t="inlineStr">
        <is>
          <t>Tax Expense</t>
        </is>
      </c>
      <c r="C21" s="18" t="n">
        <v>0</v>
      </c>
      <c r="D21" s="18" t="n">
        <v>0</v>
      </c>
    </row>
    <row r="22">
      <c r="A22" s="21" t="inlineStr">
        <is>
          <t>Profit for the Period</t>
        </is>
      </c>
      <c r="C22" s="18" t="n">
        <v>-5422000</v>
      </c>
      <c r="D22" s="18" t="n">
        <v>-23940000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8" customWidth="1" min="3" max="3"/>
  </cols>
  <sheetData>
    <row r="1">
      <c r="A1" s="1" t="inlineStr">
        <is>
          <t>Bharat Precision Components Private Limited</t>
        </is>
      </c>
    </row>
    <row r="2">
      <c r="A2" s="2" t="inlineStr">
        <is>
          <t>Cash Flow Statement (Indirect Method)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A6" s="22" t="inlineStr">
        <is>
          <t>A. Cash Flow from Operating Activities</t>
        </is>
      </c>
    </row>
    <row r="7">
      <c r="A7" s="17" t="inlineStr">
        <is>
          <t>Net Profit Before Tax</t>
        </is>
      </c>
      <c r="C7" s="18" t="n">
        <v>-5422000</v>
      </c>
    </row>
    <row r="8">
      <c r="A8" s="17" t="inlineStr">
        <is>
          <t>Add: Depreciation</t>
        </is>
      </c>
      <c r="C8" s="18" t="n">
        <v>480000</v>
      </c>
    </row>
    <row r="9">
      <c r="A9" s="17" t="inlineStr">
        <is>
          <t>Add: Interest Expense</t>
        </is>
      </c>
      <c r="C9" s="18" t="n">
        <v>317000</v>
      </c>
    </row>
    <row r="10">
      <c r="A10" s="21" t="inlineStr">
        <is>
          <t>Working Capital Adjustments:</t>
        </is>
      </c>
    </row>
    <row r="11">
      <c r="B11" s="17" t="inlineStr">
        <is>
          <t>(Increase)/Decrease in Trade Receivables</t>
        </is>
      </c>
      <c r="C11" s="18" t="n">
        <v>-270000</v>
      </c>
    </row>
    <row r="12">
      <c r="B12" s="17" t="inlineStr">
        <is>
          <t>(Increase)/Decrease in Inventories</t>
        </is>
      </c>
      <c r="C12" s="18" t="n">
        <v>-270000</v>
      </c>
    </row>
    <row r="13">
      <c r="B13" s="17" t="inlineStr">
        <is>
          <t>(Increase)/Decrease in Short-Term Loans and Advances</t>
        </is>
      </c>
      <c r="C13" s="18" t="n">
        <v>0</v>
      </c>
    </row>
    <row r="14">
      <c r="B14" s="17" t="inlineStr">
        <is>
          <t>(Increase)/Decrease in Other Current Assets</t>
        </is>
      </c>
      <c r="C14" s="18" t="n">
        <v>-75000</v>
      </c>
    </row>
    <row r="15">
      <c r="B15" s="17" t="inlineStr">
        <is>
          <t>(Increase)/Decrease in Trade Payables</t>
        </is>
      </c>
      <c r="C15" s="18" t="n">
        <v>3070000</v>
      </c>
    </row>
    <row r="16">
      <c r="B16" s="17" t="inlineStr">
        <is>
          <t>(Increase)/Decrease in Other Current Liabilities</t>
        </is>
      </c>
      <c r="C16" s="18" t="n">
        <v>863000</v>
      </c>
    </row>
    <row r="17">
      <c r="B17" s="17" t="inlineStr">
        <is>
          <t>(Increase)/Decrease in Short-Term Provisions</t>
        </is>
      </c>
      <c r="C17" s="18" t="n">
        <v>775000</v>
      </c>
    </row>
    <row r="18">
      <c r="A18" s="9" t="inlineStr">
        <is>
          <t>Net Cash from Operating Activities</t>
        </is>
      </c>
      <c r="C18" s="20" t="n">
        <v>-532000</v>
      </c>
    </row>
    <row r="20">
      <c r="A20" s="22" t="inlineStr">
        <is>
          <t>B. Cash Flow from Investing Activities</t>
        </is>
      </c>
    </row>
    <row r="21">
      <c r="A21" s="21" t="inlineStr">
        <is>
          <t>Net Cash used in Investing Activities</t>
        </is>
      </c>
      <c r="C21" s="18" t="n">
        <v>1270000</v>
      </c>
    </row>
    <row r="23">
      <c r="A23" s="22" t="inlineStr">
        <is>
          <t>C. Cash Flow from Financing Activities</t>
        </is>
      </c>
    </row>
    <row r="24">
      <c r="A24" s="21" t="inlineStr">
        <is>
          <t>Net Cash from/used in Financing Activities</t>
        </is>
      </c>
      <c r="C24" s="18" t="n">
        <v>15483000</v>
      </c>
    </row>
    <row r="26">
      <c r="A26" s="21" t="inlineStr">
        <is>
          <t>Net Increase/(Decrease) in Cash and Cash Equivalents (A+B+C)</t>
        </is>
      </c>
      <c r="C26" s="18" t="n">
        <v>16221000</v>
      </c>
    </row>
    <row r="27">
      <c r="A27" s="21" t="inlineStr">
        <is>
          <t>Cash and Cash Equivalents at the Beginning of the Year</t>
        </is>
      </c>
      <c r="C27" s="18" t="n">
        <v>578000</v>
      </c>
    </row>
    <row r="28">
      <c r="A28" s="21" t="inlineStr">
        <is>
          <t>Cash and Cash Equivalents at the End of the Year</t>
        </is>
      </c>
      <c r="C28" s="18" t="n">
        <v>665000</v>
      </c>
    </row>
    <row r="30">
      <c r="A30" s="23" t="inlineStr">
        <is>
          <t>Note: Working capital movements require two years of Trial Balance data (previous year closing balances) to be populated for accurate results. Movements shown as 0 indicate previous-year data was not supplied for that ledger.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Bharat Precision Components Private Limited</t>
        </is>
      </c>
    </row>
    <row r="2">
      <c r="A2" s="2" t="inlineStr">
        <is>
          <t>Notes to Accounts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A6" s="13" t="inlineStr">
        <is>
          <t>Note 1 - Share Capital</t>
        </is>
      </c>
    </row>
    <row r="7">
      <c r="A7" s="21" t="inlineStr">
        <is>
          <t>Particulars</t>
        </is>
      </c>
      <c r="B7" s="21" t="inlineStr">
        <is>
          <t>Current Year</t>
        </is>
      </c>
      <c r="C7" s="21" t="inlineStr">
        <is>
          <t>Previous Year</t>
        </is>
      </c>
    </row>
    <row r="8">
      <c r="A8" s="17" t="inlineStr">
        <is>
          <t>Equity Share Capital</t>
        </is>
      </c>
      <c r="B8" s="18" t="n">
        <v>5000000</v>
      </c>
      <c r="C8" s="18" t="n">
        <v>-5000000</v>
      </c>
    </row>
    <row r="9">
      <c r="A9" s="9" t="inlineStr">
        <is>
          <t>Total</t>
        </is>
      </c>
      <c r="B9" s="20" t="n">
        <v>5000000</v>
      </c>
      <c r="C9" s="20" t="n">
        <v>-5000000</v>
      </c>
    </row>
    <row r="11">
      <c r="A11" s="13" t="inlineStr">
        <is>
          <t>Note 2 - Reserves and Surplus</t>
        </is>
      </c>
    </row>
    <row r="12">
      <c r="A12" s="21" t="inlineStr">
        <is>
          <t>Particulars</t>
        </is>
      </c>
      <c r="B12" s="21" t="inlineStr">
        <is>
          <t>Current Year</t>
        </is>
      </c>
      <c r="C12" s="21" t="inlineStr">
        <is>
          <t>Previous Year</t>
        </is>
      </c>
    </row>
    <row r="13">
      <c r="A13" s="17" t="inlineStr">
        <is>
          <t>General Reserve</t>
        </is>
      </c>
      <c r="B13" s="18" t="n">
        <v>1200000</v>
      </c>
      <c r="C13" s="18" t="n">
        <v>-1200000</v>
      </c>
    </row>
    <row r="14">
      <c r="A14" s="17" t="inlineStr">
        <is>
          <t>Profit and Loss Appropriation A/c</t>
        </is>
      </c>
      <c r="B14" s="18" t="n">
        <v>950000</v>
      </c>
      <c r="C14" s="18" t="n">
        <v>-950000</v>
      </c>
    </row>
    <row r="15">
      <c r="A15" s="17" t="inlineStr">
        <is>
          <t>Add: Profit for the Current Year (transferred from Statement of Profit and Loss)</t>
        </is>
      </c>
      <c r="B15" s="18" t="n">
        <v>-5422000</v>
      </c>
      <c r="C15" s="18" t="n">
        <v>-23940000</v>
      </c>
    </row>
    <row r="16">
      <c r="A16" s="9" t="inlineStr">
        <is>
          <t>Total</t>
        </is>
      </c>
      <c r="B16" s="20" t="n">
        <v>-3272000</v>
      </c>
      <c r="C16" s="20" t="n">
        <v>-26090000</v>
      </c>
    </row>
    <row r="18">
      <c r="A18" s="13" t="inlineStr">
        <is>
          <t>Note 3 - Long-Term Borrowings</t>
        </is>
      </c>
    </row>
    <row r="19">
      <c r="A19" s="21" t="inlineStr">
        <is>
          <t>Particulars</t>
        </is>
      </c>
      <c r="B19" s="21" t="inlineStr">
        <is>
          <t>Current Year</t>
        </is>
      </c>
      <c r="C19" s="21" t="inlineStr">
        <is>
          <t>Previous Year</t>
        </is>
      </c>
    </row>
    <row r="20">
      <c r="A20" s="17" t="inlineStr">
        <is>
          <t>Term Loan - HDFC Bank</t>
        </is>
      </c>
      <c r="B20" s="18" t="n">
        <v>2200000</v>
      </c>
      <c r="C20" s="18" t="n">
        <v>-2600000</v>
      </c>
    </row>
    <row r="21">
      <c r="A21" s="17" t="inlineStr">
        <is>
          <t>Loan from Director</t>
        </is>
      </c>
      <c r="B21" s="18" t="n">
        <v>500000</v>
      </c>
      <c r="C21" s="18" t="n">
        <v>-500000</v>
      </c>
    </row>
    <row r="22">
      <c r="A22" s="9" t="inlineStr">
        <is>
          <t>Total</t>
        </is>
      </c>
      <c r="B22" s="20" t="n">
        <v>2700000</v>
      </c>
      <c r="C22" s="20" t="n">
        <v>-3100000</v>
      </c>
    </row>
    <row r="24">
      <c r="A24" s="13" t="inlineStr">
        <is>
          <t>Note 4 - Long-Term Provisions</t>
        </is>
      </c>
    </row>
    <row r="25">
      <c r="A25" s="21" t="inlineStr">
        <is>
          <t>Particulars</t>
        </is>
      </c>
      <c r="B25" s="21" t="inlineStr">
        <is>
          <t>Current Year</t>
        </is>
      </c>
      <c r="C25" s="21" t="inlineStr">
        <is>
          <t>Previous Year</t>
        </is>
      </c>
    </row>
    <row r="26">
      <c r="A26" s="17" t="inlineStr">
        <is>
          <t>Provision for Gratuity</t>
        </is>
      </c>
      <c r="B26" s="18" t="n">
        <v>180000</v>
      </c>
      <c r="C26" s="18" t="n">
        <v>-150000</v>
      </c>
    </row>
    <row r="27">
      <c r="A27" s="9" t="inlineStr">
        <is>
          <t>Total</t>
        </is>
      </c>
      <c r="B27" s="20" t="n">
        <v>180000</v>
      </c>
      <c r="C27" s="20" t="n">
        <v>-150000</v>
      </c>
    </row>
    <row r="29">
      <c r="A29" s="13" t="inlineStr">
        <is>
          <t>Note 5 - Property, Plant and Equipment</t>
        </is>
      </c>
    </row>
    <row r="30">
      <c r="A30" s="21" t="inlineStr">
        <is>
          <t>Particulars</t>
        </is>
      </c>
      <c r="B30" s="21" t="inlineStr">
        <is>
          <t>Current Year</t>
        </is>
      </c>
      <c r="C30" s="21" t="inlineStr">
        <is>
          <t>Previous Year</t>
        </is>
      </c>
    </row>
    <row r="31">
      <c r="A31" s="17" t="inlineStr">
        <is>
          <t>Accumulated Depreciation - Plant and Machinery</t>
        </is>
      </c>
      <c r="B31" s="18" t="n">
        <v>-980000</v>
      </c>
      <c r="C31" s="18" t="n">
        <v>780000</v>
      </c>
    </row>
    <row r="32">
      <c r="A32" s="17" t="inlineStr">
        <is>
          <t>Plant and Machinery</t>
        </is>
      </c>
      <c r="B32" s="18" t="n">
        <v>3650000</v>
      </c>
      <c r="C32" s="18" t="n">
        <v>3200000</v>
      </c>
    </row>
    <row r="33">
      <c r="A33" s="17" t="inlineStr">
        <is>
          <t>Computer</t>
        </is>
      </c>
      <c r="B33" s="18" t="n">
        <v>220000</v>
      </c>
      <c r="C33" s="18" t="n">
        <v>180000</v>
      </c>
    </row>
    <row r="34">
      <c r="A34" s="17" t="inlineStr">
        <is>
          <t>Office Furniture</t>
        </is>
      </c>
      <c r="B34" s="18" t="n">
        <v>220000</v>
      </c>
      <c r="C34" s="18" t="n">
        <v>220000</v>
      </c>
    </row>
    <row r="35">
      <c r="A35" s="9" t="inlineStr">
        <is>
          <t>Total</t>
        </is>
      </c>
      <c r="B35" s="20" t="n">
        <v>3110000</v>
      </c>
      <c r="C35" s="20" t="n">
        <v>4380000</v>
      </c>
    </row>
    <row r="37">
      <c r="A37" s="13" t="inlineStr">
        <is>
          <t>Note 6 - Capital Work-in-Progress</t>
        </is>
      </c>
    </row>
    <row r="38">
      <c r="A38" s="21" t="inlineStr">
        <is>
          <t>Particulars</t>
        </is>
      </c>
      <c r="B38" s="21" t="inlineStr">
        <is>
          <t>Current Year</t>
        </is>
      </c>
      <c r="C38" s="21" t="inlineStr">
        <is>
          <t>Previous Year</t>
        </is>
      </c>
    </row>
    <row r="39">
      <c r="A39" s="17" t="inlineStr">
        <is>
          <t>Capital Work in Progress</t>
        </is>
      </c>
      <c r="B39" s="18" t="n">
        <v>150000</v>
      </c>
      <c r="C39" s="18" t="n">
        <v>0</v>
      </c>
    </row>
    <row r="40">
      <c r="A40" s="9" t="inlineStr">
        <is>
          <t>Total</t>
        </is>
      </c>
      <c r="B40" s="20" t="n">
        <v>150000</v>
      </c>
      <c r="C40" s="20" t="n">
        <v>0</v>
      </c>
    </row>
    <row r="42">
      <c r="A42" s="13" t="inlineStr">
        <is>
          <t>Note 7 - Intangible Assets</t>
        </is>
      </c>
    </row>
    <row r="43">
      <c r="A43" s="21" t="inlineStr">
        <is>
          <t>Particulars</t>
        </is>
      </c>
      <c r="B43" s="21" t="inlineStr">
        <is>
          <t>Current Year</t>
        </is>
      </c>
      <c r="C43" s="21" t="inlineStr">
        <is>
          <t>Previous Year</t>
        </is>
      </c>
    </row>
    <row r="44">
      <c r="A44" s="17" t="inlineStr">
        <is>
          <t>Software License</t>
        </is>
      </c>
      <c r="B44" s="18" t="n">
        <v>90000</v>
      </c>
      <c r="C44" s="18" t="n">
        <v>90000</v>
      </c>
    </row>
    <row r="45">
      <c r="A45" s="9" t="inlineStr">
        <is>
          <t>Total</t>
        </is>
      </c>
      <c r="B45" s="20" t="n">
        <v>90000</v>
      </c>
      <c r="C45" s="20" t="n">
        <v>90000</v>
      </c>
    </row>
    <row r="47">
      <c r="A47" s="13" t="inlineStr">
        <is>
          <t>Note 8 - Non-Current Investments</t>
        </is>
      </c>
    </row>
    <row r="48">
      <c r="A48" s="21" t="inlineStr">
        <is>
          <t>Particulars</t>
        </is>
      </c>
      <c r="B48" s="21" t="inlineStr">
        <is>
          <t>Current Year</t>
        </is>
      </c>
      <c r="C48" s="21" t="inlineStr">
        <is>
          <t>Previous Year</t>
        </is>
      </c>
    </row>
    <row r="49">
      <c r="A49" s="17" t="inlineStr">
        <is>
          <t>Investment in Mutual Fund</t>
        </is>
      </c>
      <c r="B49" s="18" t="n">
        <v>500000</v>
      </c>
      <c r="C49" s="18" t="n">
        <v>500000</v>
      </c>
    </row>
    <row r="50">
      <c r="A50" s="9" t="inlineStr">
        <is>
          <t>Total</t>
        </is>
      </c>
      <c r="B50" s="20" t="n">
        <v>500000</v>
      </c>
      <c r="C50" s="20" t="n">
        <v>500000</v>
      </c>
    </row>
    <row r="52">
      <c r="A52" s="13" t="inlineStr">
        <is>
          <t>Note 9 - Short-Term Borrowings</t>
        </is>
      </c>
    </row>
    <row r="53">
      <c r="A53" s="21" t="inlineStr">
        <is>
          <t>Particulars</t>
        </is>
      </c>
      <c r="B53" s="21" t="inlineStr">
        <is>
          <t>Current Year</t>
        </is>
      </c>
      <c r="C53" s="21" t="inlineStr">
        <is>
          <t>Previous Year</t>
        </is>
      </c>
    </row>
    <row r="54">
      <c r="A54" s="17" t="inlineStr">
        <is>
          <t>Cash Credit A/c - Axis Bank</t>
        </is>
      </c>
      <c r="B54" s="18" t="n">
        <v>780000</v>
      </c>
      <c r="C54" s="18" t="n">
        <v>-620000</v>
      </c>
    </row>
    <row r="55">
      <c r="A55" s="9" t="inlineStr">
        <is>
          <t>Total</t>
        </is>
      </c>
      <c r="B55" s="20" t="n">
        <v>780000</v>
      </c>
      <c r="C55" s="20" t="n">
        <v>-620000</v>
      </c>
    </row>
    <row r="57">
      <c r="A57" s="13" t="inlineStr">
        <is>
          <t>Note 10 - Trade Payables</t>
        </is>
      </c>
    </row>
    <row r="58">
      <c r="A58" s="21" t="inlineStr">
        <is>
          <t>Particulars</t>
        </is>
      </c>
      <c r="B58" s="21" t="inlineStr">
        <is>
          <t>Current Year</t>
        </is>
      </c>
      <c r="C58" s="21" t="inlineStr">
        <is>
          <t>Previous Year</t>
        </is>
      </c>
    </row>
    <row r="59">
      <c r="A59" s="17" t="inlineStr">
        <is>
          <t>Sundry Creditors - Raw Material</t>
        </is>
      </c>
      <c r="B59" s="18" t="n">
        <v>1650000</v>
      </c>
      <c r="C59" s="18" t="n">
        <v>-1420000</v>
      </c>
    </row>
    <row r="60">
      <c r="A60" s="9" t="inlineStr">
        <is>
          <t>Total</t>
        </is>
      </c>
      <c r="B60" s="20" t="n">
        <v>1650000</v>
      </c>
      <c r="C60" s="20" t="n">
        <v>-1420000</v>
      </c>
    </row>
    <row r="62">
      <c r="A62" s="13" t="inlineStr">
        <is>
          <t>Note 11 - Other Current Liabilities</t>
        </is>
      </c>
    </row>
    <row r="63">
      <c r="A63" s="21" t="inlineStr">
        <is>
          <t>Particulars</t>
        </is>
      </c>
      <c r="B63" s="21" t="inlineStr">
        <is>
          <t>Current Year</t>
        </is>
      </c>
      <c r="C63" s="21" t="inlineStr">
        <is>
          <t>Previous Year</t>
        </is>
      </c>
    </row>
    <row r="64">
      <c r="A64" s="17" t="inlineStr">
        <is>
          <t>GST Output CGST</t>
        </is>
      </c>
      <c r="B64" s="18" t="n">
        <v>210000</v>
      </c>
      <c r="C64" s="18" t="n">
        <v>-180000</v>
      </c>
    </row>
    <row r="65">
      <c r="A65" s="17" t="inlineStr">
        <is>
          <t>GST Output SGST</t>
        </is>
      </c>
      <c r="B65" s="18" t="n">
        <v>210000</v>
      </c>
      <c r="C65" s="18" t="n">
        <v>-180000</v>
      </c>
    </row>
    <row r="66">
      <c r="A66" s="17" t="inlineStr">
        <is>
          <t>TDS Payable on Salary</t>
        </is>
      </c>
      <c r="B66" s="18" t="n">
        <v>45000</v>
      </c>
      <c r="C66" s="18" t="n">
        <v>-38000</v>
      </c>
    </row>
    <row r="67">
      <c r="A67" s="9" t="inlineStr">
        <is>
          <t>Total</t>
        </is>
      </c>
      <c r="B67" s="20" t="n">
        <v>465000</v>
      </c>
      <c r="C67" s="20" t="n">
        <v>-398000</v>
      </c>
    </row>
    <row r="69">
      <c r="A69" s="13" t="inlineStr">
        <is>
          <t>Note 13 - Short-Term Provisions</t>
        </is>
      </c>
    </row>
    <row r="70">
      <c r="A70" s="21" t="inlineStr">
        <is>
          <t>Particulars</t>
        </is>
      </c>
      <c r="B70" s="21" t="inlineStr">
        <is>
          <t>Current Year</t>
        </is>
      </c>
      <c r="C70" s="21" t="inlineStr">
        <is>
          <t>Previous Year</t>
        </is>
      </c>
    </row>
    <row r="71">
      <c r="A71" s="17" t="inlineStr">
        <is>
          <t>Provision for Income Tax</t>
        </is>
      </c>
      <c r="B71" s="18" t="n">
        <v>320000</v>
      </c>
      <c r="C71" s="18" t="n">
        <v>-280000</v>
      </c>
    </row>
    <row r="72">
      <c r="A72" s="17" t="inlineStr">
        <is>
          <t>Salary Payable</t>
        </is>
      </c>
      <c r="B72" s="18" t="n">
        <v>95000</v>
      </c>
      <c r="C72" s="18" t="n">
        <v>-80000</v>
      </c>
    </row>
    <row r="73">
      <c r="A73" s="9" t="inlineStr">
        <is>
          <t>Total</t>
        </is>
      </c>
      <c r="B73" s="20" t="n">
        <v>415000</v>
      </c>
      <c r="C73" s="20" t="n">
        <v>-360000</v>
      </c>
    </row>
    <row r="75">
      <c r="A75" s="13" t="inlineStr">
        <is>
          <t>Note 14 - Inventories</t>
        </is>
      </c>
    </row>
    <row r="76">
      <c r="A76" s="21" t="inlineStr">
        <is>
          <t>Particulars</t>
        </is>
      </c>
      <c r="B76" s="21" t="inlineStr">
        <is>
          <t>Current Year</t>
        </is>
      </c>
      <c r="C76" s="21" t="inlineStr">
        <is>
          <t>Previous Year</t>
        </is>
      </c>
    </row>
    <row r="77">
      <c r="A77" s="17" t="inlineStr">
        <is>
          <t>Closing Stock - Raw Material</t>
        </is>
      </c>
      <c r="B77" s="18" t="n">
        <v>620000</v>
      </c>
      <c r="C77" s="18" t="n">
        <v>480000</v>
      </c>
    </row>
    <row r="78">
      <c r="A78" s="17" t="inlineStr">
        <is>
          <t>Closing Stock - Finished Goods</t>
        </is>
      </c>
      <c r="B78" s="18" t="n">
        <v>780000</v>
      </c>
      <c r="C78" s="18" t="n">
        <v>650000</v>
      </c>
    </row>
    <row r="79">
      <c r="A79" s="9" t="inlineStr">
        <is>
          <t>Total</t>
        </is>
      </c>
      <c r="B79" s="20" t="n">
        <v>1400000</v>
      </c>
      <c r="C79" s="20" t="n">
        <v>1130000</v>
      </c>
    </row>
    <row r="81">
      <c r="A81" s="13" t="inlineStr">
        <is>
          <t>Note 15 - Trade Receivables</t>
        </is>
      </c>
    </row>
    <row r="82">
      <c r="A82" s="21" t="inlineStr">
        <is>
          <t>Particulars</t>
        </is>
      </c>
      <c r="B82" s="21" t="inlineStr">
        <is>
          <t>Current Year</t>
        </is>
      </c>
      <c r="C82" s="21" t="inlineStr">
        <is>
          <t>Previous Year</t>
        </is>
      </c>
    </row>
    <row r="83">
      <c r="A83" s="17" t="inlineStr">
        <is>
          <t>Sundry Debtors - Trade</t>
        </is>
      </c>
      <c r="B83" s="18" t="n">
        <v>1450000</v>
      </c>
      <c r="C83" s="18" t="n">
        <v>1180000</v>
      </c>
    </row>
    <row r="84">
      <c r="A84" s="9" t="inlineStr">
        <is>
          <t>Total</t>
        </is>
      </c>
      <c r="B84" s="20" t="n">
        <v>1450000</v>
      </c>
      <c r="C84" s="20" t="n">
        <v>1180000</v>
      </c>
    </row>
    <row r="86">
      <c r="A86" s="13" t="inlineStr">
        <is>
          <t>Note 16 - Cash and Cash Equivalents</t>
        </is>
      </c>
    </row>
    <row r="87">
      <c r="A87" s="21" t="inlineStr">
        <is>
          <t>Particulars</t>
        </is>
      </c>
      <c r="B87" s="21" t="inlineStr">
        <is>
          <t>Current Year</t>
        </is>
      </c>
      <c r="C87" s="21" t="inlineStr">
        <is>
          <t>Previous Year</t>
        </is>
      </c>
    </row>
    <row r="88">
      <c r="A88" s="17" t="inlineStr">
        <is>
          <t>Cash in Hand</t>
        </is>
      </c>
      <c r="B88" s="18" t="n">
        <v>45000</v>
      </c>
      <c r="C88" s="18" t="n">
        <v>38000</v>
      </c>
    </row>
    <row r="89">
      <c r="A89" s="17" t="inlineStr">
        <is>
          <t>HDFC Bank Current A/c</t>
        </is>
      </c>
      <c r="B89" s="18" t="n">
        <v>620000</v>
      </c>
      <c r="C89" s="18" t="n">
        <v>540000</v>
      </c>
    </row>
    <row r="90">
      <c r="A90" s="9" t="inlineStr">
        <is>
          <t>Total</t>
        </is>
      </c>
      <c r="B90" s="20" t="n">
        <v>665000</v>
      </c>
      <c r="C90" s="20" t="n">
        <v>578000</v>
      </c>
    </row>
    <row r="92">
      <c r="A92" s="13" t="inlineStr">
        <is>
          <t>Note 17 - Other Current Assets</t>
        </is>
      </c>
    </row>
    <row r="93">
      <c r="A93" s="21" t="inlineStr">
        <is>
          <t>Particulars</t>
        </is>
      </c>
      <c r="B93" s="21" t="inlineStr">
        <is>
          <t>Current Year</t>
        </is>
      </c>
      <c r="C93" s="21" t="inlineStr">
        <is>
          <t>Previous Year</t>
        </is>
      </c>
    </row>
    <row r="94">
      <c r="A94" s="17" t="inlineStr">
        <is>
          <t>GST Input CGST</t>
        </is>
      </c>
      <c r="B94" s="18" t="n">
        <v>195000</v>
      </c>
      <c r="C94" s="18" t="n">
        <v>165000</v>
      </c>
    </row>
    <row r="95">
      <c r="A95" s="17" t="inlineStr">
        <is>
          <t>GST Input SGST</t>
        </is>
      </c>
      <c r="B95" s="18" t="n">
        <v>195000</v>
      </c>
      <c r="C95" s="18" t="n">
        <v>165000</v>
      </c>
    </row>
    <row r="96">
      <c r="A96" s="17" t="inlineStr">
        <is>
          <t>TDS Receivable</t>
        </is>
      </c>
      <c r="B96" s="18" t="n">
        <v>38000</v>
      </c>
      <c r="C96" s="18" t="n">
        <v>30000</v>
      </c>
    </row>
    <row r="97">
      <c r="A97" s="17" t="inlineStr">
        <is>
          <t>Prepaid Insurance</t>
        </is>
      </c>
      <c r="B97" s="18" t="n">
        <v>25000</v>
      </c>
      <c r="C97" s="18" t="n">
        <v>18000</v>
      </c>
    </row>
    <row r="98">
      <c r="A98" s="9" t="inlineStr">
        <is>
          <t>Total</t>
        </is>
      </c>
      <c r="B98" s="20" t="n">
        <v>453000</v>
      </c>
      <c r="C98" s="20" t="n">
        <v>378000</v>
      </c>
    </row>
    <row r="100">
      <c r="A100" s="13" t="inlineStr">
        <is>
          <t>Note 18 - Short-Term Loans and Advances</t>
        </is>
      </c>
    </row>
    <row r="101">
      <c r="A101" s="21" t="inlineStr">
        <is>
          <t>Particulars</t>
        </is>
      </c>
      <c r="B101" s="21" t="inlineStr">
        <is>
          <t>Current Year</t>
        </is>
      </c>
      <c r="C101" s="21" t="inlineStr">
        <is>
          <t>Previous Year</t>
        </is>
      </c>
    </row>
    <row r="102">
      <c r="A102" s="17" t="inlineStr">
        <is>
          <t>Security Deposit Given - Rent</t>
        </is>
      </c>
      <c r="B102" s="18" t="n">
        <v>100000</v>
      </c>
      <c r="C102" s="18" t="n">
        <v>100000</v>
      </c>
    </row>
    <row r="103">
      <c r="A103" s="9" t="inlineStr">
        <is>
          <t>Total</t>
        </is>
      </c>
      <c r="B103" s="20" t="n">
        <v>100000</v>
      </c>
      <c r="C103" s="20" t="n">
        <v>100000</v>
      </c>
    </row>
    <row r="105">
      <c r="A105" s="13" t="inlineStr">
        <is>
          <t>Note 19 - Revenue from Operations</t>
        </is>
      </c>
    </row>
    <row r="106">
      <c r="A106" s="21" t="inlineStr">
        <is>
          <t>Particulars</t>
        </is>
      </c>
      <c r="B106" s="21" t="inlineStr">
        <is>
          <t>Current Year</t>
        </is>
      </c>
      <c r="C106" s="21" t="inlineStr">
        <is>
          <t>Previous Year</t>
        </is>
      </c>
    </row>
    <row r="107">
      <c r="A107" s="17" t="inlineStr">
        <is>
          <t>Sales - Domestic</t>
        </is>
      </c>
      <c r="B107" s="18" t="n">
        <v>12500000</v>
      </c>
      <c r="C107" s="18" t="n">
        <v>-10800000</v>
      </c>
    </row>
    <row r="108">
      <c r="A108" s="17" t="inlineStr">
        <is>
          <t>Export Sales</t>
        </is>
      </c>
      <c r="B108" s="18" t="n">
        <v>1800000</v>
      </c>
      <c r="C108" s="18" t="n">
        <v>-1500000</v>
      </c>
    </row>
    <row r="109">
      <c r="A109" s="9" t="inlineStr">
        <is>
          <t>Total</t>
        </is>
      </c>
      <c r="B109" s="20" t="n">
        <v>14300000</v>
      </c>
      <c r="C109" s="20" t="n">
        <v>-12300000</v>
      </c>
    </row>
    <row r="111">
      <c r="A111" s="13" t="inlineStr">
        <is>
          <t>Note 20 - Other Income</t>
        </is>
      </c>
    </row>
    <row r="112">
      <c r="A112" s="21" t="inlineStr">
        <is>
          <t>Particulars</t>
        </is>
      </c>
      <c r="B112" s="21" t="inlineStr">
        <is>
          <t>Current Year</t>
        </is>
      </c>
      <c r="C112" s="21" t="inlineStr">
        <is>
          <t>Previous Year</t>
        </is>
      </c>
    </row>
    <row r="113">
      <c r="A113" s="17" t="inlineStr">
        <is>
          <t>Interest Income</t>
        </is>
      </c>
      <c r="B113" s="18" t="n">
        <v>45000</v>
      </c>
      <c r="C113" s="18" t="n">
        <v>-38000</v>
      </c>
    </row>
    <row r="114">
      <c r="A114" s="9" t="inlineStr">
        <is>
          <t>Total</t>
        </is>
      </c>
      <c r="B114" s="20" t="n">
        <v>45000</v>
      </c>
      <c r="C114" s="20" t="n">
        <v>-38000</v>
      </c>
    </row>
    <row r="116">
      <c r="A116" s="13" t="inlineStr">
        <is>
          <t>Note 21 - Cost of Materials Consumed</t>
        </is>
      </c>
    </row>
    <row r="117">
      <c r="A117" s="21" t="inlineStr">
        <is>
          <t>Particulars</t>
        </is>
      </c>
      <c r="B117" s="21" t="inlineStr">
        <is>
          <t>Current Year</t>
        </is>
      </c>
      <c r="C117" s="21" t="inlineStr">
        <is>
          <t>Previous Year</t>
        </is>
      </c>
    </row>
    <row r="118">
      <c r="A118" s="17" t="inlineStr">
        <is>
          <t>Purchase of Raw Material</t>
        </is>
      </c>
      <c r="B118" s="18" t="n">
        <v>6800000</v>
      </c>
      <c r="C118" s="18" t="n">
        <v>5900000</v>
      </c>
    </row>
    <row r="119">
      <c r="A119" s="9" t="inlineStr">
        <is>
          <t>Total</t>
        </is>
      </c>
      <c r="B119" s="20" t="n">
        <v>6800000</v>
      </c>
      <c r="C119" s="20" t="n">
        <v>5900000</v>
      </c>
    </row>
    <row r="121">
      <c r="A121" s="13" t="inlineStr">
        <is>
          <t>Note 24 - Employee Benefit Expense</t>
        </is>
      </c>
    </row>
    <row r="122">
      <c r="A122" s="21" t="inlineStr">
        <is>
          <t>Particulars</t>
        </is>
      </c>
      <c r="B122" s="21" t="inlineStr">
        <is>
          <t>Current Year</t>
        </is>
      </c>
      <c r="C122" s="21" t="inlineStr">
        <is>
          <t>Previous Year</t>
        </is>
      </c>
    </row>
    <row r="123">
      <c r="A123" s="17" t="inlineStr">
        <is>
          <t>Staff Salary</t>
        </is>
      </c>
      <c r="B123" s="18" t="n">
        <v>1850000</v>
      </c>
      <c r="C123" s="18" t="n">
        <v>1650000</v>
      </c>
    </row>
    <row r="124">
      <c r="A124" s="17" t="inlineStr">
        <is>
          <t>Director Remuneration</t>
        </is>
      </c>
      <c r="B124" s="18" t="n">
        <v>1200000</v>
      </c>
      <c r="C124" s="18" t="n">
        <v>1100000</v>
      </c>
    </row>
    <row r="125">
      <c r="A125" s="17" t="inlineStr">
        <is>
          <t>Contribution to PF</t>
        </is>
      </c>
      <c r="B125" s="18" t="n">
        <v>165000</v>
      </c>
      <c r="C125" s="18" t="n">
        <v>148000</v>
      </c>
    </row>
    <row r="126">
      <c r="A126" s="17" t="inlineStr">
        <is>
          <t>Staff Welfare Expense</t>
        </is>
      </c>
      <c r="B126" s="18" t="n">
        <v>85000</v>
      </c>
      <c r="C126" s="18" t="n">
        <v>72000</v>
      </c>
    </row>
    <row r="127">
      <c r="A127" s="9" t="inlineStr">
        <is>
          <t>Total</t>
        </is>
      </c>
      <c r="B127" s="20" t="n">
        <v>3300000</v>
      </c>
      <c r="C127" s="20" t="n">
        <v>2970000</v>
      </c>
    </row>
    <row r="129">
      <c r="A129" s="13" t="inlineStr">
        <is>
          <t>Note 25 - Finance Costs</t>
        </is>
      </c>
    </row>
    <row r="130">
      <c r="A130" s="21" t="inlineStr">
        <is>
          <t>Particulars</t>
        </is>
      </c>
      <c r="B130" s="21" t="inlineStr">
        <is>
          <t>Current Year</t>
        </is>
      </c>
      <c r="C130" s="21" t="inlineStr">
        <is>
          <t>Previous Year</t>
        </is>
      </c>
    </row>
    <row r="131">
      <c r="A131" s="17" t="inlineStr">
        <is>
          <t>Interest on Term Loan</t>
        </is>
      </c>
      <c r="B131" s="18" t="n">
        <v>285000</v>
      </c>
      <c r="C131" s="18" t="n">
        <v>320000</v>
      </c>
    </row>
    <row r="132">
      <c r="A132" s="17" t="inlineStr">
        <is>
          <t>Bank Charges</t>
        </is>
      </c>
      <c r="B132" s="18" t="n">
        <v>32000</v>
      </c>
      <c r="C132" s="18" t="n">
        <v>28000</v>
      </c>
    </row>
    <row r="133">
      <c r="A133" s="9" t="inlineStr">
        <is>
          <t>Total</t>
        </is>
      </c>
      <c r="B133" s="20" t="n">
        <v>317000</v>
      </c>
      <c r="C133" s="20" t="n">
        <v>348000</v>
      </c>
    </row>
    <row r="135">
      <c r="A135" s="13" t="inlineStr">
        <is>
          <t>Note 26 - Depreciation and Amortization</t>
        </is>
      </c>
    </row>
    <row r="136">
      <c r="A136" s="21" t="inlineStr">
        <is>
          <t>Particulars</t>
        </is>
      </c>
      <c r="B136" s="21" t="inlineStr">
        <is>
          <t>Current Year</t>
        </is>
      </c>
      <c r="C136" s="21" t="inlineStr">
        <is>
          <t>Previous Year</t>
        </is>
      </c>
    </row>
    <row r="137">
      <c r="A137" s="17" t="inlineStr">
        <is>
          <t>Depreciation Expense</t>
        </is>
      </c>
      <c r="B137" s="18" t="n">
        <v>480000</v>
      </c>
      <c r="C137" s="18" t="n">
        <v>420000</v>
      </c>
    </row>
    <row r="138">
      <c r="A138" s="9" t="inlineStr">
        <is>
          <t>Total</t>
        </is>
      </c>
      <c r="B138" s="20" t="n">
        <v>480000</v>
      </c>
      <c r="C138" s="20" t="n">
        <v>420000</v>
      </c>
    </row>
    <row r="140">
      <c r="A140" s="13" t="inlineStr">
        <is>
          <t>Note 27 - Other Expenses</t>
        </is>
      </c>
    </row>
    <row r="141">
      <c r="A141" s="21" t="inlineStr">
        <is>
          <t>Particulars</t>
        </is>
      </c>
      <c r="B141" s="21" t="inlineStr">
        <is>
          <t>Current Year</t>
        </is>
      </c>
      <c r="C141" s="21" t="inlineStr">
        <is>
          <t>Previous Year</t>
        </is>
      </c>
    </row>
    <row r="142">
      <c r="A142" s="17" t="inlineStr">
        <is>
          <t>Factory Electricity</t>
        </is>
      </c>
      <c r="B142" s="18" t="n">
        <v>420000</v>
      </c>
      <c r="C142" s="18" t="n">
        <v>380000</v>
      </c>
    </row>
    <row r="143">
      <c r="A143" s="17" t="inlineStr">
        <is>
          <t>Factory Rent</t>
        </is>
      </c>
      <c r="B143" s="18" t="n">
        <v>360000</v>
      </c>
      <c r="C143" s="18" t="n">
        <v>360000</v>
      </c>
    </row>
    <row r="144">
      <c r="A144" s="17" t="inlineStr">
        <is>
          <t>Rent Expense - Office</t>
        </is>
      </c>
      <c r="B144" s="18" t="n">
        <v>240000</v>
      </c>
      <c r="C144" s="18" t="n">
        <v>240000</v>
      </c>
    </row>
    <row r="145">
      <c r="A145" s="17" t="inlineStr">
        <is>
          <t>Electricity Expense - Office</t>
        </is>
      </c>
      <c r="B145" s="18" t="n">
        <v>65000</v>
      </c>
      <c r="C145" s="18" t="n">
        <v>58000</v>
      </c>
    </row>
    <row r="146">
      <c r="A146" s="17" t="inlineStr">
        <is>
          <t>Telephone and Internet Expense</t>
        </is>
      </c>
      <c r="B146" s="18" t="n">
        <v>42000</v>
      </c>
      <c r="C146" s="18" t="n">
        <v>38000</v>
      </c>
    </row>
    <row r="147">
      <c r="A147" s="17" t="inlineStr">
        <is>
          <t>Printing and Stationery</t>
        </is>
      </c>
      <c r="B147" s="18" t="n">
        <v>28000</v>
      </c>
      <c r="C147" s="18" t="n">
        <v>24000</v>
      </c>
    </row>
    <row r="148">
      <c r="A148" s="17" t="inlineStr">
        <is>
          <t>Travelling and Conveyance</t>
        </is>
      </c>
      <c r="B148" s="18" t="n">
        <v>165000</v>
      </c>
      <c r="C148" s="18" t="n">
        <v>142000</v>
      </c>
    </row>
    <row r="149">
      <c r="A149" s="17" t="inlineStr">
        <is>
          <t>Legal and Professional Charges</t>
        </is>
      </c>
      <c r="B149" s="18" t="n">
        <v>220000</v>
      </c>
      <c r="C149" s="18" t="n">
        <v>180000</v>
      </c>
    </row>
    <row r="150">
      <c r="A150" s="17" t="inlineStr">
        <is>
          <t>Audit Fee</t>
        </is>
      </c>
      <c r="B150" s="18" t="n">
        <v>75000</v>
      </c>
      <c r="C150" s="18" t="n">
        <v>65000</v>
      </c>
    </row>
    <row r="151">
      <c r="A151" s="17" t="inlineStr">
        <is>
          <t>Insurance Expense</t>
        </is>
      </c>
      <c r="B151" s="18" t="n">
        <v>58000</v>
      </c>
      <c r="C151" s="18" t="n">
        <v>52000</v>
      </c>
    </row>
    <row r="152">
      <c r="A152" s="17" t="inlineStr">
        <is>
          <t>Repair and Maintenance</t>
        </is>
      </c>
      <c r="B152" s="18" t="n">
        <v>95000</v>
      </c>
      <c r="C152" s="18" t="n">
        <v>88000</v>
      </c>
    </row>
    <row r="153">
      <c r="A153" s="17" t="inlineStr">
        <is>
          <t>Advertisement Expense</t>
        </is>
      </c>
      <c r="B153" s="18" t="n">
        <v>145000</v>
      </c>
      <c r="C153" s="18" t="n">
        <v>120000</v>
      </c>
    </row>
    <row r="154">
      <c r="A154" s="17" t="inlineStr">
        <is>
          <t>Freight Outward</t>
        </is>
      </c>
      <c r="B154" s="18" t="n">
        <v>210000</v>
      </c>
      <c r="C154" s="18" t="n">
        <v>185000</v>
      </c>
    </row>
    <row r="155">
      <c r="A155" s="17" t="inlineStr">
        <is>
          <t>Miscellaneous Expense</t>
        </is>
      </c>
      <c r="B155" s="18" t="n">
        <v>6747000</v>
      </c>
      <c r="C155" s="18" t="n">
        <v>32000</v>
      </c>
    </row>
    <row r="156">
      <c r="A156" s="9" t="inlineStr">
        <is>
          <t>Total</t>
        </is>
      </c>
      <c r="B156" s="20" t="n">
        <v>8870000</v>
      </c>
      <c r="C156" s="20" t="n">
        <v>1964000</v>
      </c>
    </row>
  </sheetData>
  <mergeCells count="24">
    <mergeCell ref="A116:D116"/>
    <mergeCell ref="A135:D135"/>
    <mergeCell ref="A62:D62"/>
    <mergeCell ref="A100:D100"/>
    <mergeCell ref="A140:D140"/>
    <mergeCell ref="A29:D29"/>
    <mergeCell ref="A52:D52"/>
    <mergeCell ref="A81:D81"/>
    <mergeCell ref="A121:D121"/>
    <mergeCell ref="A111:D111"/>
    <mergeCell ref="A92:D92"/>
    <mergeCell ref="A24:D24"/>
    <mergeCell ref="A11:D11"/>
    <mergeCell ref="A6:D6"/>
    <mergeCell ref="A69:D69"/>
    <mergeCell ref="A37:D37"/>
    <mergeCell ref="A18:D18"/>
    <mergeCell ref="A75:D75"/>
    <mergeCell ref="A105:D105"/>
    <mergeCell ref="A86:D86"/>
    <mergeCell ref="A57:D57"/>
    <mergeCell ref="A129:D129"/>
    <mergeCell ref="A47:D47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70" customWidth="1" min="4" max="4"/>
    <col width="16" customWidth="1" min="5" max="5"/>
  </cols>
  <sheetData>
    <row r="1">
      <c r="A1" s="1" t="inlineStr">
        <is>
          <t>Bharat Precision Components Private Limited</t>
        </is>
      </c>
    </row>
    <row r="2">
      <c r="A2" s="2" t="inlineStr">
        <is>
          <t>Validation Report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A6" s="13" t="inlineStr">
        <is>
          <t>Severity</t>
        </is>
      </c>
      <c r="B6" s="13" t="inlineStr">
        <is>
          <t>Code</t>
        </is>
      </c>
      <c r="C6" s="13" t="inlineStr">
        <is>
          <t>Ledger</t>
        </is>
      </c>
      <c r="D6" s="13" t="inlineStr">
        <is>
          <t>Message</t>
        </is>
      </c>
      <c r="E6" s="13" t="inlineStr">
        <is>
          <t>Amount</t>
        </is>
      </c>
    </row>
    <row r="7">
      <c r="A7" s="24" t="inlineStr">
        <is>
          <t>WARNING</t>
        </is>
      </c>
      <c r="B7" s="24" t="inlineStr">
        <is>
          <t>NATURE_MISMATCH</t>
        </is>
      </c>
      <c r="C7" s="24" t="inlineStr">
        <is>
          <t>Accumulated Depreciation - Plant and Machinery</t>
        </is>
      </c>
      <c r="D7" s="25" t="inlineStr">
        <is>
          <t>'Accumulated Depreciation - Plant and Machinery' is mapped as a debit-nature account (Property, Plant and Equipment) but nets to a credit balance of 980,000.00. Please verify the mapping or the entry.</t>
        </is>
      </c>
      <c r="E7" s="24" t="n">
        <v>-980000</v>
      </c>
    </row>
    <row r="8">
      <c r="A8" s="26" t="inlineStr">
        <is>
          <t>INFO</t>
        </is>
      </c>
      <c r="B8" s="26" t="inlineStr">
        <is>
          <t>GST_NET_POSITION</t>
        </is>
      </c>
      <c r="C8" s="26" t="inlineStr"/>
      <c r="D8" s="27" t="inlineStr">
        <is>
          <t>Net GST position: Input 390,000.00 vs Output 420,000.00. Verify this matches the GSTR-3B for the year.</t>
        </is>
      </c>
      <c r="E8" s="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Bharat Precision Components Private Limited</t>
        </is>
      </c>
    </row>
    <row r="2">
      <c r="A2" s="2" t="inlineStr">
        <is>
          <t>Financial Ratio Analysis</t>
        </is>
      </c>
    </row>
    <row r="3">
      <c r="A3" s="3" t="inlineStr">
        <is>
          <t>For the year ended - FY 2025-26 (1 April 2025 to 31 March 2026)</t>
        </is>
      </c>
    </row>
    <row r="4">
      <c r="A4" s="4" t="inlineStr">
        <is>
          <t>(All amounts in INR unless otherwise stated)</t>
        </is>
      </c>
    </row>
    <row r="6">
      <c r="A6" s="13" t="inlineStr">
        <is>
          <t>Ratio</t>
        </is>
      </c>
      <c r="B6" s="13" t="inlineStr">
        <is>
          <t>Current Year</t>
        </is>
      </c>
      <c r="C6" s="13" t="inlineStr">
        <is>
          <t>Previous Year</t>
        </is>
      </c>
      <c r="D6" s="13" t="inlineStr">
        <is>
          <t>Formula</t>
        </is>
      </c>
    </row>
    <row r="7">
      <c r="A7" s="17" t="inlineStr">
        <is>
          <t>Current Ratio</t>
        </is>
      </c>
      <c r="B7" t="n">
        <v>1.23</v>
      </c>
      <c r="C7" t="n">
        <v>-1.2</v>
      </c>
      <c r="D7" s="4" t="inlineStr">
        <is>
          <t>Current Assets / Current Liabilities</t>
        </is>
      </c>
    </row>
    <row r="8">
      <c r="A8" s="17" t="inlineStr">
        <is>
          <t>Quick Ratio</t>
        </is>
      </c>
      <c r="B8" t="n">
        <v>0.8100000000000001</v>
      </c>
      <c r="C8" t="n">
        <v>-0.8</v>
      </c>
      <c r="D8" s="4" t="inlineStr">
        <is>
          <t>(Current Assets - Inventory) / Current Liabilities</t>
        </is>
      </c>
    </row>
    <row r="9">
      <c r="A9" s="17" t="inlineStr">
        <is>
          <t>Debt-Equity Ratio</t>
        </is>
      </c>
      <c r="B9" t="n">
        <v>2.01</v>
      </c>
      <c r="C9" t="n">
        <v>0.12</v>
      </c>
      <c r="D9" s="4" t="inlineStr">
        <is>
          <t>Total Debt / Shareholders' Equity</t>
        </is>
      </c>
    </row>
    <row r="10">
      <c r="A10" s="17" t="inlineStr">
        <is>
          <t>Return on Equity (%)</t>
        </is>
      </c>
      <c r="B10" t="n">
        <v>-313.77</v>
      </c>
      <c r="C10" t="n">
        <v>77</v>
      </c>
      <c r="D10" s="4" t="inlineStr">
        <is>
          <t>Profit After Tax / Shareholders' Equity x 100</t>
        </is>
      </c>
    </row>
    <row r="11">
      <c r="A11" s="17" t="inlineStr">
        <is>
          <t>Return on Capital Employed (%)</t>
        </is>
      </c>
      <c r="B11" t="n">
        <v>-115.29</v>
      </c>
      <c r="C11" t="n">
        <v>69</v>
      </c>
      <c r="D11" s="4" t="inlineStr">
        <is>
          <t>EBIT / Capital Employed x 100</t>
        </is>
      </c>
    </row>
    <row r="12">
      <c r="A12" s="17" t="inlineStr">
        <is>
          <t>Gross Profit Margin (%)</t>
        </is>
      </c>
      <c r="B12" t="n">
        <v>52.6</v>
      </c>
      <c r="C12" t="n">
        <v>147.82</v>
      </c>
      <c r="D12" s="4" t="inlineStr">
        <is>
          <t>Gross Profit / Revenue x 100</t>
        </is>
      </c>
    </row>
    <row r="13">
      <c r="A13" s="17" t="inlineStr">
        <is>
          <t>Net Profit Margin (%)</t>
        </is>
      </c>
      <c r="B13" t="n">
        <v>-37.8</v>
      </c>
      <c r="C13" t="n">
        <v>194.03</v>
      </c>
      <c r="D13" s="4" t="inlineStr">
        <is>
          <t>Profit After Tax / Revenue x 100</t>
        </is>
      </c>
    </row>
    <row r="14">
      <c r="A14" s="17" t="inlineStr">
        <is>
          <t>Inventory Turnover Ratio</t>
        </is>
      </c>
      <c r="B14" t="n">
        <v>4.86</v>
      </c>
      <c r="C14" t="n">
        <v>5.22</v>
      </c>
      <c r="D14" s="4" t="inlineStr">
        <is>
          <t>Cost of Goods Sold / Average Inventory</t>
        </is>
      </c>
    </row>
    <row r="15">
      <c r="A15" s="17" t="inlineStr">
        <is>
          <t>Trade Receivables Turnover Ratio</t>
        </is>
      </c>
      <c r="B15" t="n">
        <v>9.890000000000001</v>
      </c>
      <c r="C15" t="n">
        <v>-10.46</v>
      </c>
      <c r="D15" s="4" t="inlineStr">
        <is>
          <t>Revenue / Average Trade Receivables</t>
        </is>
      </c>
    </row>
    <row r="16">
      <c r="A16" s="17" t="inlineStr">
        <is>
          <t>Trade Payables Turnover Ratio</t>
        </is>
      </c>
      <c r="B16" t="n">
        <v>4.12</v>
      </c>
      <c r="C16" t="n">
        <v>-4.15</v>
      </c>
      <c r="D16" s="4" t="inlineStr">
        <is>
          <t>Purchases / Average Trade Payables</t>
        </is>
      </c>
    </row>
    <row r="17">
      <c r="A17" s="17" t="inlineStr">
        <is>
          <t>Book Value per Share</t>
        </is>
      </c>
      <c r="B17" t="inlineStr">
        <is>
          <t>N/A</t>
        </is>
      </c>
      <c r="C17" t="inlineStr">
        <is>
          <t>N/A</t>
        </is>
      </c>
      <c r="D17" s="4" t="inlineStr">
        <is>
          <t>Shareholders' Equity / Number of Equity Shares (requires share count input)</t>
        </is>
      </c>
    </row>
    <row r="18">
      <c r="A18" s="17" t="inlineStr">
        <is>
          <t>Earnings per Share</t>
        </is>
      </c>
      <c r="B18" t="inlineStr">
        <is>
          <t>N/A</t>
        </is>
      </c>
      <c r="C18" t="inlineStr">
        <is>
          <t>N/A</t>
        </is>
      </c>
      <c r="D18" s="4" t="inlineStr">
        <is>
          <t>Profit After Tax / Weighted Avg. Number of Equity Shares (requires share count input)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2026-07-13T04:49:45Z</dcterms:created>
  <dcterms:modified xmlns:dcterms="http://purl.org/dc/terms/" xmlns:xsi="http://www.w3.org/2001/XMLSchema-instance" xsi:type="dcterms:W3CDTF">2026-07-13T04:49:45Z</dcterms:modified>
</cp:coreProperties>
</file>